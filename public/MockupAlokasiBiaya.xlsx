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sicenter-my.sharepoint.com/personal/putri_mulyaningtias_bankbsi_co_id/Documents/Dokumen Tyas/04_BSI-DOKUMENTASI DEVELOPMENT BSI PASTI CR ITKU/2025 - ON GOING/2025 - 99 Proofsheet/2025-03-07 Alokasi Biaya/"/>
    </mc:Choice>
  </mc:AlternateContent>
  <xr:revisionPtr revIDLastSave="5230" documentId="8_{53D7E18F-5C3C-475F-8A53-9015DBA3AD81}" xr6:coauthVersionLast="47" xr6:coauthVersionMax="47" xr10:uidLastSave="{E480CF4F-E069-4D3C-B94F-366F6FD972F7}"/>
  <bookViews>
    <workbookView xWindow="-120" yWindow="-120" windowWidth="29040" windowHeight="15720" firstSheet="3" activeTab="12" xr2:uid="{C1FDF36E-DDB7-4B42-ACDD-3C896A741EF4}"/>
  </bookViews>
  <sheets>
    <sheet name="Flow" sheetId="2" r:id="rId1"/>
    <sheet name="Master GL &amp; Group" sheetId="10" r:id="rId2"/>
    <sheet name="Menu CFA (2)" sheetId="16" r:id="rId3"/>
    <sheet name="Slisih Akru" sheetId="17" r:id="rId4"/>
    <sheet name="Menu CFA" sheetId="8" r:id="rId5"/>
    <sheet name="Menu Pemohon" sheetId="13" r:id="rId6"/>
    <sheet name="Output" sheetId="11" r:id="rId7"/>
    <sheet name="Sewa Selain Tanah &amp; Bangunan" sheetId="20" r:id="rId8"/>
    <sheet name="Sheet2" sheetId="19" r:id="rId9"/>
    <sheet name="Jasa" sheetId="22" r:id="rId10"/>
    <sheet name="Sheet1" sheetId="18" r:id="rId11"/>
    <sheet name="Meeting Pak Priyo n Tax 161024" sheetId="5" state="hidden" r:id="rId12"/>
    <sheet name="Web Accounting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1" i="16" l="1"/>
  <c r="J62" i="16"/>
  <c r="J63" i="16"/>
  <c r="J64" i="16"/>
  <c r="J65" i="16"/>
  <c r="J66" i="16"/>
  <c r="J67" i="16"/>
  <c r="J68" i="16"/>
  <c r="J69" i="16"/>
  <c r="J70" i="16"/>
  <c r="J71" i="16"/>
  <c r="I62" i="16"/>
  <c r="I63" i="16"/>
  <c r="I64" i="16"/>
  <c r="I65" i="16"/>
  <c r="I66" i="16"/>
  <c r="I67" i="16"/>
  <c r="I68" i="16"/>
  <c r="I69" i="16"/>
  <c r="I70" i="16"/>
  <c r="I71" i="16"/>
  <c r="H62" i="16"/>
  <c r="H63" i="16"/>
  <c r="H64" i="16"/>
  <c r="H65" i="16"/>
  <c r="H66" i="16"/>
  <c r="H67" i="16"/>
  <c r="H68" i="16"/>
  <c r="H69" i="16"/>
  <c r="H70" i="16"/>
  <c r="H71" i="16"/>
  <c r="H61" i="16"/>
  <c r="I61" i="16"/>
  <c r="G62" i="16"/>
  <c r="G63" i="16"/>
  <c r="G64" i="16"/>
  <c r="G65" i="16"/>
  <c r="G66" i="16"/>
  <c r="G67" i="16"/>
  <c r="G68" i="16"/>
  <c r="G69" i="16"/>
  <c r="G70" i="16"/>
  <c r="G71" i="16"/>
  <c r="G61" i="16"/>
  <c r="D71" i="16"/>
  <c r="E71" i="16"/>
  <c r="F71" i="16"/>
  <c r="C71" i="16"/>
  <c r="D61" i="16"/>
  <c r="E61" i="16"/>
  <c r="F61" i="16"/>
  <c r="D62" i="16"/>
  <c r="E62" i="16"/>
  <c r="F62" i="16"/>
  <c r="D63" i="16"/>
  <c r="E63" i="16"/>
  <c r="F63" i="16"/>
  <c r="D64" i="16"/>
  <c r="E64" i="16"/>
  <c r="F64" i="16"/>
  <c r="D65" i="16"/>
  <c r="E65" i="16"/>
  <c r="F65" i="16"/>
  <c r="D66" i="16"/>
  <c r="E66" i="16"/>
  <c r="F66" i="16"/>
  <c r="D67" i="16"/>
  <c r="E67" i="16"/>
  <c r="F67" i="16"/>
  <c r="D68" i="16"/>
  <c r="E68" i="16"/>
  <c r="F68" i="16"/>
  <c r="D69" i="16"/>
  <c r="E69" i="16"/>
  <c r="F69" i="16"/>
  <c r="D70" i="16"/>
  <c r="E70" i="16"/>
  <c r="F70" i="16"/>
  <c r="C62" i="16"/>
  <c r="C63" i="16"/>
  <c r="C64" i="16"/>
  <c r="C65" i="16"/>
  <c r="C66" i="16"/>
  <c r="C67" i="16"/>
  <c r="C68" i="16"/>
  <c r="C69" i="16"/>
  <c r="C70" i="16"/>
  <c r="C61" i="16"/>
  <c r="AX2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tc={9A34FB07-D624-462F-AFF8-224542F387DF}</author>
    <author>tc={A8D82F4D-5653-4770-B644-7A4D9019E471}</author>
  </authors>
  <commentList>
    <comment ref="Z27" authorId="0" shapeId="0" xr:uid="{9A34FB07-D624-462F-AFF8-224542F387DF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hyperlink ke detail tagihan</t>
      </text>
    </comment>
    <comment ref="AA27" authorId="1" shapeId="0" xr:uid="{A8D82F4D-5653-4770-B644-7A4D9019E471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hyperlink ke detail tagihan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tc={B7E03CE3-0512-495D-AB0A-B275C57F5DFA}</author>
  </authors>
  <commentList>
    <comment ref="F17" authorId="0" shapeId="0" xr:uid="{B7E03CE3-0512-495D-AB0A-B275C57F5DFA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hyperlink ke detail tagihan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tc={D2C372B4-08CC-41A0-B8AC-F9D0F8E3BED6}</author>
  </authors>
  <commentList>
    <comment ref="Y18" authorId="0" shapeId="0" xr:uid="{D2C372B4-08CC-41A0-B8AC-F9D0F8E3BED6}">
      <text>
        <t>[Threaded comment]
Your version of Excel allows you to read this threaded comment; however, any edits to it will get removed if the file is opened in a newer version of Excel. Learn more: https://go.microsoft.com/fwlink/?linkid=870924
Comment:
    hyperlink ke detail tagihan</t>
      </text>
    </comment>
  </commentList>
</comments>
</file>

<file path=xl/sharedStrings.xml><?xml version="1.0" encoding="utf-8"?>
<sst xmlns="http://schemas.openxmlformats.org/spreadsheetml/2006/main" count="2280" uniqueCount="527">
  <si>
    <t>Flow Alokasi Biaya - Proofsheet</t>
  </si>
  <si>
    <t>BSI Pasti</t>
  </si>
  <si>
    <t>Proofsheet</t>
  </si>
  <si>
    <r>
      <rPr>
        <b/>
        <i/>
        <sz val="7"/>
        <color theme="4" tint="-0.499984740745262"/>
        <rFont val="Calibri"/>
        <family val="2"/>
        <scheme val="minor"/>
      </rPr>
      <t>Tim Disbursement</t>
    </r>
    <r>
      <rPr>
        <i/>
        <sz val="7"/>
        <color theme="2" tint="-0.749992370372631"/>
        <rFont val="Calibri"/>
        <family val="2"/>
        <scheme val="minor"/>
      </rPr>
      <t xml:space="preserve">
staff</t>
    </r>
  </si>
  <si>
    <t>Pembayaran kepada Vendor Approved</t>
  </si>
  <si>
    <t xml:space="preserve">1. masuk ke listing </t>
  </si>
  <si>
    <t>CFA</t>
  </si>
  <si>
    <t>2. Tagging Transaksi</t>
  </si>
  <si>
    <t>Unit Pemohon</t>
  </si>
  <si>
    <t>(otomatis)</t>
  </si>
  <si>
    <t>3. Upload Alokasi</t>
  </si>
  <si>
    <t>2 layer</t>
  </si>
  <si>
    <r>
      <rPr>
        <b/>
        <i/>
        <sz val="7"/>
        <color rgb="FF203764"/>
        <rFont val="Calibri"/>
        <scheme val="minor"/>
      </rPr>
      <t xml:space="preserve">Tim Disbursement
</t>
    </r>
    <r>
      <rPr>
        <i/>
        <sz val="7"/>
        <color rgb="FF3A3838"/>
        <rFont val="Calibri"/>
        <scheme val="minor"/>
      </rPr>
      <t>staff
TL/DH</t>
    </r>
  </si>
  <si>
    <t>Staff
Team Leader</t>
  </si>
  <si>
    <t>Multiposting</t>
  </si>
  <si>
    <t>4. Download dan upload jurnal</t>
  </si>
  <si>
    <t>3 layer</t>
  </si>
  <si>
    <r>
      <rPr>
        <b/>
        <i/>
        <sz val="7"/>
        <color rgb="FF203764"/>
        <rFont val="Calibri"/>
        <family val="2"/>
        <scheme val="minor"/>
      </rPr>
      <t xml:space="preserve">Tim Posting
</t>
    </r>
    <r>
      <rPr>
        <i/>
        <sz val="7"/>
        <color rgb="FF3A3838"/>
        <rFont val="Calibri"/>
        <family val="2"/>
        <scheme val="minor"/>
      </rPr>
      <t>Staff
Manager
DH/GH</t>
    </r>
  </si>
  <si>
    <t>Mapping GL &amp; Unit Kerja</t>
  </si>
  <si>
    <t>Master Vendor</t>
  </si>
  <si>
    <t>dikelompokan per paket</t>
  </si>
  <si>
    <t>NO GL</t>
  </si>
  <si>
    <t>UNIT KERJA</t>
  </si>
  <si>
    <t>NO</t>
  </si>
  <si>
    <t>JENIS JASA</t>
  </si>
  <si>
    <t>NAMA VENDOR</t>
  </si>
  <si>
    <t>&lt;</t>
  </si>
  <si>
    <t>&gt;</t>
  </si>
  <si>
    <t>PL62091</t>
  </si>
  <si>
    <t>HCS</t>
  </si>
  <si>
    <t>GAJI</t>
  </si>
  <si>
    <t>PL62090</t>
  </si>
  <si>
    <t>PT Bahtera Pesat Lintasbuana (PT BPL)</t>
  </si>
  <si>
    <t>Jan</t>
  </si>
  <si>
    <t>Mar</t>
  </si>
  <si>
    <t>1. Gaji</t>
  </si>
  <si>
    <t>PL62092</t>
  </si>
  <si>
    <t>PT Perdana Prima Bhakti Mandiri (PT PPBM)</t>
  </si>
  <si>
    <t>Apr</t>
  </si>
  <si>
    <t>Jun</t>
  </si>
  <si>
    <t>2. Reimburse</t>
  </si>
  <si>
    <t>PL62094</t>
  </si>
  <si>
    <t>PL62163</t>
  </si>
  <si>
    <t>PT Rasendra Nala Saputra (PT RNS)</t>
  </si>
  <si>
    <t>Jul</t>
  </si>
  <si>
    <t>Sep</t>
  </si>
  <si>
    <t>3. Insentif</t>
  </si>
  <si>
    <t>PL62095</t>
  </si>
  <si>
    <t>PT Bangun Sumberdaya Mandiri (PT BSDM)</t>
  </si>
  <si>
    <t>Okt</t>
  </si>
  <si>
    <t>Des</t>
  </si>
  <si>
    <t>PL62096</t>
  </si>
  <si>
    <t>PT Bumi Daya Plaza (BDP)</t>
  </si>
  <si>
    <t>1. Internet</t>
  </si>
  <si>
    <t>PL62097</t>
  </si>
  <si>
    <t>PT Personel Alih Daya (PT Persada)</t>
  </si>
  <si>
    <t>2. Intranet</t>
  </si>
  <si>
    <t>PL62108</t>
  </si>
  <si>
    <t>PT Sejahtera Bersama Sharia (SBS)</t>
  </si>
  <si>
    <t>PL62131</t>
  </si>
  <si>
    <t>PT Global Alih Daya</t>
  </si>
  <si>
    <t>PL62172</t>
  </si>
  <si>
    <t>PT Personal Prima Utama (PPU)</t>
  </si>
  <si>
    <t>PL62175</t>
  </si>
  <si>
    <t>PT Infomedia Nusantara</t>
  </si>
  <si>
    <t>PL62176</t>
  </si>
  <si>
    <t>REIMBURSE &amp; INSENTIF</t>
  </si>
  <si>
    <t>IOG</t>
  </si>
  <si>
    <t>PT. Artacomindotama</t>
  </si>
  <si>
    <t>PL62177</t>
  </si>
  <si>
    <t>PT. Telekomunikasi Indonesia</t>
  </si>
  <si>
    <t>PL62178</t>
  </si>
  <si>
    <t>PL62174</t>
  </si>
  <si>
    <t>PT. Arthatech Selaras</t>
  </si>
  <si>
    <t>No</t>
  </si>
  <si>
    <t>Alokasi ke Cabang</t>
  </si>
  <si>
    <t>Alokasi/Tidak</t>
  </si>
  <si>
    <t>Unit yang Mengalokasi</t>
  </si>
  <si>
    <t>Tindaklanjut</t>
  </si>
  <si>
    <t>Dashboard</t>
  </si>
  <si>
    <t>PL62179</t>
  </si>
  <si>
    <t>PT. Aplikanusa Lintasarta</t>
  </si>
  <si>
    <t>Fee Antam</t>
  </si>
  <si>
    <t>Alokasi</t>
  </si>
  <si>
    <t>Pendapatan</t>
  </si>
  <si>
    <t>Monitoring Pembayaran dan Akru</t>
  </si>
  <si>
    <t>PL62184</t>
  </si>
  <si>
    <t>PT. Indonesia Comnets Plus</t>
  </si>
  <si>
    <t>Dukcapil</t>
  </si>
  <si>
    <t>di KP, tapi URC (Uang Muka)</t>
  </si>
  <si>
    <t>Monitoring Alokasi</t>
  </si>
  <si>
    <t>PL62185</t>
  </si>
  <si>
    <t>PT. Indosat Tbk</t>
  </si>
  <si>
    <t>Outsoucing</t>
  </si>
  <si>
    <t>Beban Cabang</t>
  </si>
  <si>
    <t>PL62051</t>
  </si>
  <si>
    <t>PT. Diebold Nixdorf Indonesia</t>
  </si>
  <si>
    <t>Komdat</t>
  </si>
  <si>
    <t>PL62164</t>
  </si>
  <si>
    <t>PFA</t>
  </si>
  <si>
    <t>PT. Sanatel</t>
  </si>
  <si>
    <t>Kendaraan</t>
  </si>
  <si>
    <t xml:space="preserve">Akru </t>
  </si>
  <si>
    <t>PL60122</t>
  </si>
  <si>
    <t>PT. Telekomunikasi Selular</t>
  </si>
  <si>
    <t>Cetakan</t>
  </si>
  <si>
    <t xml:space="preserve">PT. Mega Akses Persada </t>
  </si>
  <si>
    <t>SMS blast</t>
  </si>
  <si>
    <t>Tidak Alokasi</t>
  </si>
  <si>
    <t>INTERNET</t>
  </si>
  <si>
    <t>PT. Iforte Solusi Infotek</t>
  </si>
  <si>
    <t>Service Charge</t>
  </si>
  <si>
    <t>INTRANET</t>
  </si>
  <si>
    <t>PT. Link Net Tbk</t>
  </si>
  <si>
    <t>Sewa Gedung</t>
  </si>
  <si>
    <t>SEWA KENDARAAN</t>
  </si>
  <si>
    <t>KOPERASI PERPENSI BDN</t>
  </si>
  <si>
    <t>Cash In Transit</t>
  </si>
  <si>
    <t>DBO</t>
  </si>
  <si>
    <t>Alokasi pindah ke CFA</t>
  </si>
  <si>
    <t>PENGIRIMAN BARANG</t>
  </si>
  <si>
    <t>PT CSM CORPORATAMA</t>
  </si>
  <si>
    <t>Pemeliharaan ATM</t>
  </si>
  <si>
    <t>table filtering</t>
  </si>
  <si>
    <t>ALL</t>
  </si>
  <si>
    <t>Akru</t>
  </si>
  <si>
    <t>IDR172220001</t>
  </si>
  <si>
    <t>Langkah Akru Biaya Rutin</t>
  </si>
  <si>
    <t>Listing vendor</t>
  </si>
  <si>
    <t>Biaya Per bulan dari BSI Pasti dan konfirmasi DBO</t>
  </si>
  <si>
    <t>Recheck invoice untuk periode</t>
  </si>
  <si>
    <t>PT ESTIKA YASAKELOLA</t>
  </si>
  <si>
    <t>PT GO RENTAL</t>
  </si>
  <si>
    <t>PT HRC PRIMA SEJAHTERA</t>
  </si>
  <si>
    <t>PT LEO ANUGERAH SUKSES</t>
  </si>
  <si>
    <t>PT MITRA PINASTHIKA MUSTIKA RENT</t>
  </si>
  <si>
    <t>PT MULIA SASMITA BHAKTI</t>
  </si>
  <si>
    <t>PT PESONNA OPTIMA JASA</t>
  </si>
  <si>
    <t>PT PRATAMA MITRA SEJATI</t>
  </si>
  <si>
    <t>PT PUSAKA PRIMA TRANSPORT</t>
  </si>
  <si>
    <t>PT SEMOLIS TEKNOLOGI INDONESIA</t>
  </si>
  <si>
    <t>PT SERASI AUTO RAYA</t>
  </si>
  <si>
    <t>PT SURYA SUDECO</t>
  </si>
  <si>
    <t>PT TANGKAS PERKASA</t>
  </si>
  <si>
    <t>PT SRIKANDI MULTI RENTAL</t>
  </si>
  <si>
    <t>PT NUSANTARA CARD SEMESTA</t>
  </si>
  <si>
    <t>PT PANDU SIWI SENTOSA</t>
  </si>
  <si>
    <t>PT ADVANTAGE SCM</t>
  </si>
  <si>
    <t>Pergerakan Tagihan Per Vendor Per bulan</t>
  </si>
  <si>
    <t>Dashboard alokasi yang telah diupload Group terkait (statusnya berhasil)</t>
  </si>
  <si>
    <t>Vendor</t>
  </si>
  <si>
    <t>Tahun</t>
  </si>
  <si>
    <t>Back</t>
  </si>
  <si>
    <t>Rekap Alokasi Beban berdasarkan Vendor</t>
  </si>
  <si>
    <t>Group:</t>
  </si>
  <si>
    <t>Tahun: 2025</t>
  </si>
  <si>
    <t>Nama Vendor</t>
  </si>
  <si>
    <t>Jenis Jasa</t>
  </si>
  <si>
    <t>Januari</t>
  </si>
  <si>
    <t>Februari</t>
  </si>
  <si>
    <t>Maret</t>
  </si>
  <si>
    <t>Tgl Bayar</t>
  </si>
  <si>
    <t>Nominal</t>
  </si>
  <si>
    <t>Tgl Alokasi</t>
  </si>
  <si>
    <t>GAJI PJTK</t>
  </si>
  <si>
    <t> </t>
  </si>
  <si>
    <t>19/02/2025</t>
  </si>
  <si>
    <t xml:space="preserve">                 4.406.998.402,00</t>
  </si>
  <si>
    <t>20/03/2025</t>
  </si>
  <si>
    <t xml:space="preserve">               4.850.208.391,00</t>
  </si>
  <si>
    <t>REIMBURSE</t>
  </si>
  <si>
    <t>24/02/2025</t>
  </si>
  <si>
    <t xml:space="preserve">                    778.212.677,00</t>
  </si>
  <si>
    <t xml:space="preserve">               1.174.951.582,00</t>
  </si>
  <si>
    <t>INSENTIF</t>
  </si>
  <si>
    <t xml:space="preserve">                 1.652.759.007,00</t>
  </si>
  <si>
    <t>24/03/2025</t>
  </si>
  <si>
    <t xml:space="preserve">               2.794.065.040,00</t>
  </si>
  <si>
    <t xml:space="preserve">                 6.591.982.138,00</t>
  </si>
  <si>
    <t xml:space="preserve">               6.750.788.742,00</t>
  </si>
  <si>
    <t xml:space="preserve">                 1.677.824.583,00</t>
  </si>
  <si>
    <t>14/03/2025</t>
  </si>
  <si>
    <t xml:space="preserve">               1.944.764.225,00</t>
  </si>
  <si>
    <t xml:space="preserve">                 1.463.537.409,00</t>
  </si>
  <si>
    <t xml:space="preserve">               2.542.793.810,00</t>
  </si>
  <si>
    <t xml:space="preserve">                 3.655.800.929,00</t>
  </si>
  <si>
    <t xml:space="preserve">               3.646.921.813,00</t>
  </si>
  <si>
    <t>GAJI BPO</t>
  </si>
  <si>
    <t xml:space="preserve">                 1.801.172.000,00</t>
  </si>
  <si>
    <t>17/03/2025</t>
  </si>
  <si>
    <t xml:space="preserve">               1.885.615.470,00</t>
  </si>
  <si>
    <t xml:space="preserve">                 2.477.609.342,00</t>
  </si>
  <si>
    <t xml:space="preserve">               3.042.513.902,00</t>
  </si>
  <si>
    <t xml:space="preserve">                 4.225.408.667,00</t>
  </si>
  <si>
    <t xml:space="preserve">               4.210.479.205,00</t>
  </si>
  <si>
    <t xml:space="preserve">                 2.139.052.252,00</t>
  </si>
  <si>
    <t xml:space="preserve">               2.117.566.142,00</t>
  </si>
  <si>
    <t xml:space="preserve">                 3.058.931.003,00</t>
  </si>
  <si>
    <t xml:space="preserve">               3.084.164.385,00</t>
  </si>
  <si>
    <t xml:space="preserve">                 2.909.087.956,00</t>
  </si>
  <si>
    <t xml:space="preserve">               2.902.239.416,00</t>
  </si>
  <si>
    <t xml:space="preserve">                    643.879.929,00</t>
  </si>
  <si>
    <t xml:space="preserve">                   656.529.647,00</t>
  </si>
  <si>
    <t xml:space="preserve">                 2.956.591.492,00</t>
  </si>
  <si>
    <t xml:space="preserve">               2.481.103.509,00</t>
  </si>
  <si>
    <t xml:space="preserve">                 5.522.476.125,00</t>
  </si>
  <si>
    <t xml:space="preserve">               5.542.362.160,00</t>
  </si>
  <si>
    <t xml:space="preserve"> No </t>
  </si>
  <si>
    <t xml:space="preserve"> Vendor </t>
  </si>
  <si>
    <t xml:space="preserve"> Januari </t>
  </si>
  <si>
    <t xml:space="preserve"> Februari </t>
  </si>
  <si>
    <t xml:space="preserve"> Maret </t>
  </si>
  <si>
    <t xml:space="preserve"> April </t>
  </si>
  <si>
    <t xml:space="preserve">                 2.154.040.392,00</t>
  </si>
  <si>
    <t xml:space="preserve">               2.146.760.193,00</t>
  </si>
  <si>
    <t xml:space="preserve">                 3.855.718.842,00</t>
  </si>
  <si>
    <t xml:space="preserve">               4.230.196.498,00</t>
  </si>
  <si>
    <t xml:space="preserve">                 2.398.571.283,00</t>
  </si>
  <si>
    <t xml:space="preserve">               2.389.201.397,00</t>
  </si>
  <si>
    <t xml:space="preserve">                 1.106.983.312,00</t>
  </si>
  <si>
    <t xml:space="preserve">                   854.494.664,00</t>
  </si>
  <si>
    <t xml:space="preserve">                 1.401.821.366,00</t>
  </si>
  <si>
    <t xml:space="preserve">               1.401.299.254,00</t>
  </si>
  <si>
    <t>24/04/2025</t>
  </si>
  <si>
    <t xml:space="preserve">                    606.341.112,00</t>
  </si>
  <si>
    <t xml:space="preserve">                   541.565.907,00</t>
  </si>
  <si>
    <t xml:space="preserve">                    494.273.554,00</t>
  </si>
  <si>
    <t xml:space="preserve">                   494.273.554,00</t>
  </si>
  <si>
    <t xml:space="preserve">                    124.628.868,00</t>
  </si>
  <si>
    <t xml:space="preserve">                   135.971.008,00</t>
  </si>
  <si>
    <t xml:space="preserve">                 1.276.888.337,00</t>
  </si>
  <si>
    <t xml:space="preserve">               1.194.818.057,00</t>
  </si>
  <si>
    <t>Total Tagihan</t>
  </si>
  <si>
    <t xml:space="preserve">       59.380.590.977,00</t>
  </si>
  <si>
    <t xml:space="preserve">      63.015.647.971,00</t>
  </si>
  <si>
    <t xml:space="preserve"> Total </t>
  </si>
  <si>
    <t>Catatan:</t>
  </si>
  <si>
    <t>Dashboard Tanggal yang telah diupload Group terkait (statusnya berhasil)</t>
  </si>
  <si>
    <t>Menu Pembayaran</t>
  </si>
  <si>
    <t xml:space="preserve">Periode: </t>
  </si>
  <si>
    <t>*Nominal yang muncul yang telah ditagging oleh CFA (operation)</t>
  </si>
  <si>
    <t>April</t>
  </si>
  <si>
    <t>Mei</t>
  </si>
  <si>
    <t>Juni</t>
  </si>
  <si>
    <t>Juli</t>
  </si>
  <si>
    <t>Internet</t>
  </si>
  <si>
    <t>Intranet</t>
  </si>
  <si>
    <t>PT. Telekomunikasi Indonesia (MPLS)</t>
  </si>
  <si>
    <t>PT. Indonesia Comnets</t>
  </si>
  <si>
    <t>PT. Indosat  MPLS</t>
  </si>
  <si>
    <t>PT. Diebold Nixdorf</t>
  </si>
  <si>
    <t>PT. Telkomsel</t>
  </si>
  <si>
    <t xml:space="preserve"> Telkom (Internet SDWAN) </t>
  </si>
  <si>
    <t>Fiberstar</t>
  </si>
  <si>
    <t>iForte</t>
  </si>
  <si>
    <t>LinkNet (Internet)</t>
  </si>
  <si>
    <t>Total</t>
  </si>
  <si>
    <t>Validasi Tagihan oleh CFA</t>
  </si>
  <si>
    <t>CFA melakukan tagging pembayaran yang telah dibayarkan keppada vendor dengan memilih periode tagihan, jenis taihan, rutin/non rutin</t>
  </si>
  <si>
    <t xml:space="preserve">berwarna saat diklik kotak Groupnya, yang lain jadi abu2 </t>
  </si>
  <si>
    <t>Monitoring</t>
  </si>
  <si>
    <t>Total Transaksi yang belum ditagging per Group</t>
  </si>
  <si>
    <t>3 Group Pareto dengan transaksi terbanyak yg belum dialokasikan</t>
  </si>
  <si>
    <t>No Transaksi</t>
  </si>
  <si>
    <t>Keterangan Transaksi</t>
  </si>
  <si>
    <t>Periode Tagihan</t>
  </si>
  <si>
    <t>Agustus</t>
  </si>
  <si>
    <t>27/250203…</t>
  </si>
  <si>
    <t>Indosat Feb  - Apr2025</t>
  </si>
  <si>
    <r>
      <rPr>
        <b/>
        <sz val="9"/>
        <color theme="1"/>
        <rFont val="Arial"/>
        <family val="2"/>
      </rPr>
      <t>O</t>
    </r>
    <r>
      <rPr>
        <sz val="9"/>
        <color theme="1"/>
        <rFont val="Arial"/>
        <family val="2"/>
      </rPr>
      <t xml:space="preserve"> Rutin
O Non Rutin</t>
    </r>
  </si>
  <si>
    <r>
      <rPr>
        <b/>
        <sz val="9"/>
        <color theme="1"/>
        <rFont val="Arial"/>
        <family val="2"/>
      </rPr>
      <t>O</t>
    </r>
    <r>
      <rPr>
        <sz val="9"/>
        <color theme="1"/>
        <rFont val="Arial"/>
        <family val="2"/>
      </rPr>
      <t xml:space="preserve"> Alokasi
O Non Alokasi</t>
    </r>
  </si>
  <si>
    <t>Detail transaksi yang muncul adalah transaksi yang termapping GL dan Groupnya IOG</t>
  </si>
  <si>
    <t xml:space="preserve">Pilihan jasa muncul sesuai master GL &amp; Group </t>
  </si>
  <si>
    <t>karena Group yg dipilih IOG maka jenis jasa yang muncul adalah jenis jasa yg dimapping di group IOG</t>
  </si>
  <si>
    <t>periode saat ini dan sebelumnya</t>
  </si>
  <si>
    <t>bulan setelah bulan ini tidak dapat dipilih</t>
  </si>
  <si>
    <t>default dari master vendor dan transaksi Pembayaran Bsi pasti, master GL dan Group</t>
  </si>
  <si>
    <t>Validasi untuk Vendor sama, Jenis Jasa dan Periode yang sama tidak bisa ditagging</t>
  </si>
  <si>
    <t>Pop up: apakah yakin periode yang diisi ada yang terlewat, misal bulan lalu taging bulan jan, bulan ini taging bulan maret</t>
  </si>
  <si>
    <t>Catatan Acc ops:</t>
  </si>
  <si>
    <t xml:space="preserve">Dokumen pembayaran yang harus dialokasikan dipisah tempat dokumennya shg dpt diakses </t>
  </si>
  <si>
    <t>tgl 25 tiap bulan harus O outstanding transaksi yang belum di tagging</t>
  </si>
  <si>
    <t>Semua transaksi yang masuk harus di tagging, tidak cutoff 2025, 2024 dan tahun2 seblumnya jg ditagging</t>
  </si>
  <si>
    <t>Enhancement BSI Pasti periode Jasa pembayaran kapan u Akru rutin</t>
  </si>
  <si>
    <t>indosat</t>
  </si>
  <si>
    <t>iog</t>
  </si>
  <si>
    <t>pfa</t>
  </si>
  <si>
    <t>telomsel</t>
  </si>
  <si>
    <t>shihlin</t>
  </si>
  <si>
    <t>hcs</t>
  </si>
  <si>
    <t>cfa</t>
  </si>
  <si>
    <t>Alokasi Biaya oleh Unit Kerja Pemohon</t>
  </si>
  <si>
    <t>Unit Kerja Pemohon melakukan upload file alokasi biaya untuk transaksi yang telah dibayarkan CFA</t>
  </si>
  <si>
    <t>Yang diupload User Pemohon</t>
  </si>
  <si>
    <t>REKENING DEBIT</t>
  </si>
  <si>
    <t>NOMINAL</t>
  </si>
  <si>
    <t>KETERANGAN</t>
  </si>
  <si>
    <t>KODE CABANG</t>
  </si>
  <si>
    <t>KODE URC</t>
  </si>
  <si>
    <t>Pengajuan Alokasi Biaya</t>
  </si>
  <si>
    <t>Dokumen yang diupload</t>
  </si>
  <si>
    <t>0053HCS PT PPU JAN 25 TAD BSNS</t>
  </si>
  <si>
    <t>ID0010001</t>
  </si>
  <si>
    <t>3080000</t>
  </si>
  <si>
    <t>Kategori</t>
  </si>
  <si>
    <t>2</t>
  </si>
  <si>
    <t>Indosat Feb 2025</t>
  </si>
  <si>
    <t>Maret 2025</t>
  </si>
  <si>
    <t>Rutin</t>
  </si>
  <si>
    <t>Upload Alokasi</t>
  </si>
  <si>
    <t>3</t>
  </si>
  <si>
    <t>Detail transaksi yang dapat diupload alokasinya adalah transaksi yang sudah ditagging CFA</t>
  </si>
  <si>
    <t>PT Telkomsel Tbk</t>
  </si>
  <si>
    <t>Telkom Feb 2025</t>
  </si>
  <si>
    <t>Belum Tagging</t>
  </si>
  <si>
    <t>Nominal:</t>
  </si>
  <si>
    <t xml:space="preserve">IDR </t>
  </si>
  <si>
    <t>Periode:           Maret 2025</t>
  </si>
  <si>
    <t>Transaksi yang belum ditagging CFA akan muncul dalam view user namun tidak dapat dieksekusi</t>
  </si>
  <si>
    <t>Keterangan:    Indosat Feb 2025</t>
  </si>
  <si>
    <t>Yang terbentuk di sistem dan didownload CFA untuk diupload di BSI Pasti</t>
  </si>
  <si>
    <t>REKENING KREDIT</t>
  </si>
  <si>
    <t>CURRENCY</t>
  </si>
  <si>
    <t>NO SURAT</t>
  </si>
  <si>
    <t>Upload Alokasi Biaya:</t>
  </si>
  <si>
    <t>Download Template Alokasi Biaya:</t>
  </si>
  <si>
    <t>Pilih File</t>
  </si>
  <si>
    <t>No file choosen</t>
  </si>
  <si>
    <t>Template alokasi biaya</t>
  </si>
  <si>
    <t>klik langsung download</t>
  </si>
  <si>
    <t>IDR1702800010001</t>
  </si>
  <si>
    <t>IDR</t>
  </si>
  <si>
    <t>272501230643-1ID0010001-7060PPK</t>
  </si>
  <si>
    <t>0053HCS PT PPU FEB 25 TAD BSNS</t>
  </si>
  <si>
    <t>save</t>
  </si>
  <si>
    <t>DAFTAR ALOKASI BIAYA:</t>
  </si>
  <si>
    <t>3080001</t>
  </si>
  <si>
    <t>No.</t>
  </si>
  <si>
    <t>Rekening Debet</t>
  </si>
  <si>
    <t>Keterangan</t>
  </si>
  <si>
    <t>Kode Cabang</t>
  </si>
  <si>
    <t>Kode URC</t>
  </si>
  <si>
    <t>default dari master vendor d, master GL dan Group</t>
  </si>
  <si>
    <t>Total nominal yg diuopload dg rekening debit, kode Cabang dan kode URC yang sama</t>
  </si>
  <si>
    <t xml:space="preserve">Otomatis terbentuk sebagai lawan jurnal dari debet </t>
  </si>
  <si>
    <t>Otomatis terbentuk sesuai dengan jenis rekening debit yang ada dan membentuk jurnal baliknya</t>
  </si>
  <si>
    <t>Edit Document</t>
  </si>
  <si>
    <t>Save Document</t>
  </si>
  <si>
    <t>Delete Document</t>
  </si>
  <si>
    <r>
      <t xml:space="preserve">Validasi </t>
    </r>
    <r>
      <rPr>
        <b/>
        <sz val="11"/>
        <color theme="4" tint="-0.499984740745262"/>
        <rFont val="Calibri"/>
        <family val="2"/>
        <scheme val="minor"/>
      </rPr>
      <t>disamakan dengan validasi jurnal manual di Proofsheet</t>
    </r>
    <r>
      <rPr>
        <sz val="11"/>
        <color theme="4" tint="-0.499984740745262"/>
        <rFont val="Calibri"/>
        <family val="2"/>
        <scheme val="minor"/>
      </rPr>
      <t>, diantaranya:</t>
    </r>
  </si>
  <si>
    <t>Nominal yang diupload Pemohon totalnya sama dengan nominal pembayaran (RANGE TOLERANSI 5%)</t>
  </si>
  <si>
    <t>PL yang didaftarkan Pemohon GLnya ada di listing GL Corebanking</t>
  </si>
  <si>
    <t>Kode Cabang bukan kode cabang tutup dan ada di eksisting</t>
  </si>
  <si>
    <t>Kode URC sesuai dengan URC eksisting di Core Banking</t>
  </si>
  <si>
    <t>Keterangan tidak ada simbol2</t>
  </si>
  <si>
    <t>Format isian file yang diupload pemohon seluruh kolomnya "GENERAL"</t>
  </si>
  <si>
    <t>Format file yang diupload berbentuk Excell</t>
  </si>
  <si>
    <t>CASE : PKP-NON WAPU, &gt;10 JUTA, NET</t>
  </si>
  <si>
    <t xml:space="preserve">Identifikasi </t>
  </si>
  <si>
    <t>Apakah transaksi ini tergolong sewa tanah dan bangunan (sewa gedung, ruang ATM, lahan u Pilonsign/Wallsign)?</t>
  </si>
  <si>
    <t>Sewa Selain Tanah &amp; Bangunan</t>
  </si>
  <si>
    <t>Ya</t>
  </si>
  <si>
    <t xml:space="preserve">Vendor: </t>
  </si>
  <si>
    <t>PKP - Bukan Wapu</t>
  </si>
  <si>
    <t>PKP - Wapu</t>
  </si>
  <si>
    <t>Tidak</t>
  </si>
  <si>
    <t>PPh</t>
  </si>
  <si>
    <t>Ditanggung Pemilik</t>
  </si>
  <si>
    <t>Ditanggung BSI</t>
  </si>
  <si>
    <t>&gt; 10 Juta</t>
  </si>
  <si>
    <t>Apakah total sewa yang dibayarkan &gt; Rp10jt?</t>
  </si>
  <si>
    <t>Sewa Selain Tanah &amp; Bangunan :</t>
  </si>
  <si>
    <t>1. Sewa Mesin Fotocopy</t>
  </si>
  <si>
    <t>2. Sewa Peralatan Kantor Lain</t>
  </si>
  <si>
    <t>Apakah vendor merupakan Pengusaha Kena Pajak (PKP)?</t>
  </si>
  <si>
    <t>1. Pastikan dokumen lengkap</t>
  </si>
  <si>
    <t>Dokumen</t>
  </si>
  <si>
    <t>Tandatangan</t>
  </si>
  <si>
    <t>Scan Warna</t>
  </si>
  <si>
    <t>Stempel Tanggal</t>
  </si>
  <si>
    <t>Perhatikan</t>
  </si>
  <si>
    <t>Lanjutkan =&gt;</t>
  </si>
  <si>
    <t xml:space="preserve">Surat Perintah Kerja / Perjanjian Kerja Sama (Bermaterai) </t>
  </si>
  <si>
    <t>Kepala Unit Kerja</t>
  </si>
  <si>
    <t>Yes</t>
  </si>
  <si>
    <t>-</t>
  </si>
  <si>
    <t>pajak penghasilan ditanggung siapa</t>
  </si>
  <si>
    <t>Apakah vendor adalah Wajib Pungut (WAPU)?</t>
  </si>
  <si>
    <t>Kuitansi/Invoice</t>
  </si>
  <si>
    <t>Pemilik</t>
  </si>
  <si>
    <t>isi lengkap semua isian</t>
  </si>
  <si>
    <t>Faktur Pajak</t>
  </si>
  <si>
    <t>kode awal 030</t>
  </si>
  <si>
    <t>kode awal 040</t>
  </si>
  <si>
    <t>2.  Kesesuaian informasi antar dokumen</t>
  </si>
  <si>
    <t>Apakah Pajak Penghasilan atas sewa menjadi kewajiban PEMILIK dalam Perjanjian sewa?</t>
  </si>
  <si>
    <t>Pajak Penghasilan (PPh) ditanggung</t>
  </si>
  <si>
    <t>Pemilik Bangunan</t>
  </si>
  <si>
    <t>BSI</t>
  </si>
  <si>
    <t>Hari pengajuan - tanggal kuitansi &lt; 30 hr</t>
  </si>
  <si>
    <t>bulan input BSI Pasti = bulan faktur pajak terbit</t>
  </si>
  <si>
    <t>Berita Acara expired dokumen*</t>
  </si>
  <si>
    <t>Jika Hari pengajuan - tanggal kuitansi &gt; 30 hr</t>
  </si>
  <si>
    <r>
      <t xml:space="preserve">Profil </t>
    </r>
    <r>
      <rPr>
        <b/>
        <vertAlign val="superscript"/>
        <sz val="11"/>
        <color theme="0"/>
        <rFont val="Calibri"/>
        <family val="2"/>
        <scheme val="minor"/>
      </rPr>
      <t>v</t>
    </r>
  </si>
  <si>
    <t>User :</t>
  </si>
  <si>
    <t>Verifikator</t>
  </si>
  <si>
    <t>1. Inputan harus sesuai dg dokumen</t>
  </si>
  <si>
    <t>Inputan</t>
  </si>
  <si>
    <t>Yang dipilih/diisi</t>
  </si>
  <si>
    <t>DSP yang dipilih</t>
  </si>
  <si>
    <t>DSP OHC</t>
  </si>
  <si>
    <t>Sesuai invoice/kuitansi</t>
  </si>
  <si>
    <t>Pastikan tidak ada simbol (-,./^&amp;"`)</t>
  </si>
  <si>
    <t>Nomor rekening</t>
  </si>
  <si>
    <t>Cek kembali apakah rekening aktif di mobile banking/iBSI</t>
  </si>
  <si>
    <t>Jenis Pembayaran</t>
  </si>
  <si>
    <t>Sewa</t>
  </si>
  <si>
    <t>Metode Pembebanan</t>
  </si>
  <si>
    <t>3. Amortisasi</t>
  </si>
  <si>
    <t>Metode</t>
  </si>
  <si>
    <t>Rekening BDD</t>
  </si>
  <si>
    <t>131560001 - BDD Sewa</t>
  </si>
  <si>
    <t>Nomor GL Amortisasi/Alokasi beban</t>
  </si>
  <si>
    <t>PL60137 - Sewa Mesin Fotocopy
PL60123 - Sewa Peralatan Kantor Lain</t>
  </si>
  <si>
    <t xml:space="preserve">URC Unit kerja </t>
  </si>
  <si>
    <t>URC Cabang: 4098 Alokasi Cabang, 4097 Alokasi Area</t>
  </si>
  <si>
    <t>Pajak Penghasilan</t>
  </si>
  <si>
    <t>Detail : Sewa Selain Tanah dan Bangunan, Beban Vendor</t>
  </si>
  <si>
    <t>Detail : Sewa Selain Tanah dan Bangunan, Beban BSI</t>
  </si>
  <si>
    <t>Tidak terdapat simbol (-,./^&amp;"`)</t>
  </si>
  <si>
    <t>Mulai Amortisasi</t>
  </si>
  <si>
    <t>Pastikan Berakhirnya Amortisasi Sama Dengan Bulan Perjanjian</t>
  </si>
  <si>
    <t>2. Rincian yang terbentuk</t>
  </si>
  <si>
    <t>3. Jurnal yang terbentuk</t>
  </si>
  <si>
    <t>KC Jakarta Mayestik</t>
  </si>
  <si>
    <t>Sewa Tanah dan Bangunan</t>
  </si>
  <si>
    <r>
      <rPr>
        <b/>
        <sz val="20"/>
        <color rgb="FF306E6B"/>
        <rFont val="Calibri"/>
        <family val="2"/>
        <scheme val="minor"/>
      </rPr>
      <t>SEWA</t>
    </r>
    <r>
      <rPr>
        <b/>
        <sz val="11"/>
        <color rgb="FF306E6B"/>
        <rFont val="Calibri"/>
        <family val="2"/>
        <scheme val="minor"/>
      </rPr>
      <t xml:space="preserve">
</t>
    </r>
    <r>
      <rPr>
        <b/>
        <sz val="9"/>
        <color rgb="FF306E6B"/>
        <rFont val="Calibri"/>
        <family val="2"/>
        <scheme val="minor"/>
      </rPr>
      <t xml:space="preserve">Gedung </t>
    </r>
    <r>
      <rPr>
        <b/>
        <sz val="9"/>
        <color rgb="FF306E6B"/>
        <rFont val="Calibri"/>
        <family val="2"/>
      </rPr>
      <t xml:space="preserve">• </t>
    </r>
    <r>
      <rPr>
        <b/>
        <sz val="9"/>
        <color rgb="FF306E6B"/>
        <rFont val="Calibri"/>
        <family val="2"/>
        <scheme val="minor"/>
      </rPr>
      <t xml:space="preserve">Ruang
ATM </t>
    </r>
    <r>
      <rPr>
        <b/>
        <sz val="9"/>
        <color rgb="FF306E6B"/>
        <rFont val="Calibri"/>
        <family val="2"/>
      </rPr>
      <t xml:space="preserve">• </t>
    </r>
    <r>
      <rPr>
        <b/>
        <sz val="9"/>
        <color rgb="FF306E6B"/>
        <rFont val="Calibri"/>
        <family val="2"/>
        <scheme val="minor"/>
      </rPr>
      <t>Lahan Wallsign</t>
    </r>
  </si>
  <si>
    <r>
      <rPr>
        <b/>
        <sz val="20"/>
        <color rgb="FF306E6B"/>
        <rFont val="Calibri"/>
        <family val="2"/>
        <scheme val="minor"/>
      </rPr>
      <t>JASA</t>
    </r>
    <r>
      <rPr>
        <b/>
        <sz val="11"/>
        <color rgb="FF306E6B"/>
        <rFont val="Calibri"/>
        <family val="2"/>
        <scheme val="minor"/>
      </rPr>
      <t xml:space="preserve">
</t>
    </r>
    <r>
      <rPr>
        <b/>
        <sz val="9"/>
        <color rgb="FF306E6B"/>
        <rFont val="Calibri"/>
        <family val="2"/>
        <scheme val="minor"/>
      </rPr>
      <t xml:space="preserve">Renovasi </t>
    </r>
    <r>
      <rPr>
        <b/>
        <sz val="9"/>
        <color rgb="FF306E6B"/>
        <rFont val="Calibri"/>
        <family val="2"/>
      </rPr>
      <t>• EO
Pemasangan</t>
    </r>
    <r>
      <rPr>
        <b/>
        <sz val="9"/>
        <color rgb="FF306E6B"/>
        <rFont val="Calibri"/>
        <family val="2"/>
        <scheme val="minor"/>
      </rPr>
      <t xml:space="preserve"> </t>
    </r>
    <r>
      <rPr>
        <b/>
        <sz val="9"/>
        <color rgb="FF306E6B"/>
        <rFont val="Calibri"/>
        <family val="2"/>
      </rPr>
      <t>• Pengiriman</t>
    </r>
  </si>
  <si>
    <r>
      <rPr>
        <b/>
        <sz val="20"/>
        <color rgb="FF306E6B"/>
        <rFont val="Calibri"/>
        <family val="2"/>
        <scheme val="minor"/>
      </rPr>
      <t>LISTRIK</t>
    </r>
    <r>
      <rPr>
        <b/>
        <sz val="11"/>
        <color rgb="FF306E6B"/>
        <rFont val="Calibri"/>
        <family val="2"/>
        <scheme val="minor"/>
      </rPr>
      <t xml:space="preserve">
</t>
    </r>
    <r>
      <rPr>
        <b/>
        <sz val="9"/>
        <color rgb="FF306E6B"/>
        <rFont val="Calibri"/>
        <family val="2"/>
        <scheme val="minor"/>
      </rPr>
      <t xml:space="preserve">Air </t>
    </r>
    <r>
      <rPr>
        <b/>
        <sz val="9"/>
        <color rgb="FF306E6B"/>
        <rFont val="Calibri"/>
        <family val="2"/>
      </rPr>
      <t>•</t>
    </r>
    <r>
      <rPr>
        <b/>
        <sz val="12.6"/>
        <color rgb="FF306E6B"/>
        <rFont val="Calibri"/>
        <family val="2"/>
      </rPr>
      <t xml:space="preserve"> </t>
    </r>
    <r>
      <rPr>
        <b/>
        <sz val="9"/>
        <color rgb="FF306E6B"/>
        <rFont val="Calibri"/>
        <family val="2"/>
      </rPr>
      <t xml:space="preserve">PBB • </t>
    </r>
    <r>
      <rPr>
        <b/>
        <sz val="9"/>
        <color rgb="FF306E6B"/>
        <rFont val="Calibri"/>
        <family val="2"/>
        <scheme val="minor"/>
      </rPr>
      <t xml:space="preserve">Reklame 
</t>
    </r>
    <r>
      <rPr>
        <b/>
        <sz val="9"/>
        <color rgb="FF306E6B"/>
        <rFont val="Calibri"/>
        <family val="2"/>
      </rPr>
      <t xml:space="preserve"> </t>
    </r>
  </si>
  <si>
    <r>
      <rPr>
        <b/>
        <sz val="20"/>
        <color rgb="FF306E6B"/>
        <rFont val="Calibri"/>
        <family val="2"/>
        <scheme val="minor"/>
      </rPr>
      <t>VENDOR</t>
    </r>
    <r>
      <rPr>
        <b/>
        <sz val="11"/>
        <color rgb="FF306E6B"/>
        <rFont val="Calibri"/>
        <family val="2"/>
        <scheme val="minor"/>
      </rPr>
      <t xml:space="preserve">
</t>
    </r>
    <r>
      <rPr>
        <b/>
        <sz val="9"/>
        <color rgb="FF306E6B"/>
        <rFont val="Calibri"/>
        <family val="2"/>
        <scheme val="minor"/>
      </rPr>
      <t xml:space="preserve">Baru </t>
    </r>
    <r>
      <rPr>
        <b/>
        <sz val="9"/>
        <color rgb="FF306E6B"/>
        <rFont val="Calibri"/>
        <family val="2"/>
      </rPr>
      <t>• Edit •
Tambah Rekening</t>
    </r>
  </si>
  <si>
    <r>
      <rPr>
        <b/>
        <sz val="20"/>
        <color rgb="FF306E6B"/>
        <rFont val="Calibri"/>
        <family val="2"/>
        <scheme val="minor"/>
      </rPr>
      <t>SEWA</t>
    </r>
    <r>
      <rPr>
        <b/>
        <sz val="11"/>
        <color rgb="FF306E6B"/>
        <rFont val="Calibri"/>
        <family val="2"/>
        <scheme val="minor"/>
      </rPr>
      <t xml:space="preserve">
</t>
    </r>
    <r>
      <rPr>
        <b/>
        <sz val="9"/>
        <color rgb="FF306E6B"/>
        <rFont val="Calibri"/>
        <family val="2"/>
        <scheme val="minor"/>
      </rPr>
      <t xml:space="preserve">Mesin Fotocopy
Tanaman </t>
    </r>
    <r>
      <rPr>
        <b/>
        <sz val="9"/>
        <color rgb="FF306E6B"/>
        <rFont val="Calibri"/>
        <family val="2"/>
      </rPr>
      <t>• Mesin</t>
    </r>
  </si>
  <si>
    <t>&lt; Rp.200 juta, &gt; Rp.10 juta</t>
  </si>
  <si>
    <r>
      <rPr>
        <b/>
        <sz val="22"/>
        <color rgb="FF306E6B"/>
        <rFont val="Calibri"/>
        <family val="2"/>
        <scheme val="minor"/>
      </rPr>
      <t xml:space="preserve">                      JASA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theme="2" tint="-0.499984740745262"/>
        <rFont val="Calibri"/>
        <family val="2"/>
        <scheme val="minor"/>
      </rPr>
      <t>&gt; Jasa Notaris Sewa Gedung / Lahan /Ruang ATM 
&gt; Beban Keamanan
&gt; Pemeliharaan &amp; Perbaikan Gedung/Rumah BSI
&gt; Pemeliharaan &amp; Perbaikan Instalasi Milik BSI</t>
    </r>
  </si>
  <si>
    <t>Persetujuan Nota Analisa Sewa Properti</t>
  </si>
  <si>
    <t>RCEO &amp; Deputy Ops</t>
  </si>
  <si>
    <r>
      <rPr>
        <sz val="22"/>
        <color rgb="FF306E6B"/>
        <rFont val="Calibri"/>
        <family val="2"/>
        <scheme val="minor"/>
      </rPr>
      <t>VENDOR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0" tint="-0.499984740745262"/>
        <rFont val="Calibri"/>
        <family val="2"/>
        <scheme val="minor"/>
      </rPr>
      <t>Dokumen yang diperlukan dan petunjuk penginputan untuk mendaftarkan vendor baru, mengubah data vendor yang telah diapproved dan menambahkan rekening baru</t>
    </r>
  </si>
  <si>
    <t>Perjanjian sewa bermaterai</t>
  </si>
  <si>
    <t>Kuitansi</t>
  </si>
  <si>
    <t xml:space="preserve"> </t>
  </si>
  <si>
    <t>FAQ</t>
  </si>
  <si>
    <t>Nota Analisa</t>
  </si>
  <si>
    <t>Informasi Pajak, jangka waktu sewa, nominal sebelum dan sesudah pajak harus sejalan</t>
  </si>
  <si>
    <r>
      <t xml:space="preserve">Ketentuan </t>
    </r>
    <r>
      <rPr>
        <b/>
        <vertAlign val="superscript"/>
        <sz val="11"/>
        <color theme="0"/>
        <rFont val="Calibri"/>
        <family val="2"/>
        <scheme val="minor"/>
      </rPr>
      <t>v</t>
    </r>
  </si>
  <si>
    <r>
      <t xml:space="preserve">Monitoring </t>
    </r>
    <r>
      <rPr>
        <b/>
        <vertAlign val="superscript"/>
        <sz val="11"/>
        <color theme="0"/>
        <rFont val="Calibri"/>
        <family val="2"/>
        <scheme val="minor"/>
      </rPr>
      <t>V</t>
    </r>
  </si>
  <si>
    <t>&lt; Rp.200 juta, &gt;Rp.10 juta</t>
  </si>
  <si>
    <t>1.</t>
  </si>
  <si>
    <t>Inputan harus sesuai dg dokumen</t>
  </si>
  <si>
    <t>DSP SEWA</t>
  </si>
  <si>
    <t>Detail:  Sewa Tanah dan Bangunan</t>
  </si>
  <si>
    <t>PL60120-Sewa Gedung</t>
  </si>
  <si>
    <t>Jenis Perhitungan Pajak</t>
  </si>
  <si>
    <t>Perihal</t>
  </si>
  <si>
    <t>Tidak terdapat simbol</t>
  </si>
  <si>
    <t>Apakah total sewa gedung yang dibayarkan &lt; Rp.200jt?</t>
  </si>
  <si>
    <t>2.</t>
  </si>
  <si>
    <t>Rincian yang terbentuk</t>
  </si>
  <si>
    <t>Nominal Pembayaran ke Pemilik</t>
  </si>
  <si>
    <t>Tgl Input</t>
  </si>
  <si>
    <t>Mulai Sewa</t>
  </si>
  <si>
    <t>Akhir Sewa</t>
  </si>
  <si>
    <t>Perhatian</t>
  </si>
  <si>
    <t>Apakah total sewa gedung yang dibayarkan &gt; Rp10jt?</t>
  </si>
  <si>
    <t>3.</t>
  </si>
  <si>
    <t>Jurnal yang terbentuk</t>
  </si>
  <si>
    <t>Revam</t>
  </si>
  <si>
    <t>Perpajakan</t>
  </si>
  <si>
    <t>Peningkatan kontrol proses pembayaran (Post Transaction)</t>
  </si>
  <si>
    <t>Output</t>
  </si>
  <si>
    <t>a. Analisa Frekuensi Pencairan Kas Kecil di Cabang Per kelas cabang per Region</t>
  </si>
  <si>
    <t>Surat ke Area, Region dan RCB hasil analisa</t>
  </si>
  <si>
    <t>b. Analisa Pembayaran rutin bulanan di Cabang</t>
  </si>
  <si>
    <t>Web Proofsheet: Analisa dan Area mengisi tindaklanjutnya</t>
  </si>
  <si>
    <t>c. Frekuensi penarikan uang muka dan lama outstanding</t>
  </si>
  <si>
    <t>DIskusi rutin dengan Area dan region</t>
  </si>
  <si>
    <t>tarik data dari BSI Pasti untuk mendapatkan info pembayaran</t>
  </si>
  <si>
    <t>Mitigasi Pemeriksaan Pajak selanjutnya</t>
  </si>
  <si>
    <t>Permasalahan</t>
  </si>
  <si>
    <t>Group</t>
  </si>
  <si>
    <t>Kesiapan Aplikasi</t>
  </si>
  <si>
    <t>Follow Up</t>
  </si>
  <si>
    <t>Verifikasi dok Manual</t>
  </si>
  <si>
    <t>Reimbursement</t>
  </si>
  <si>
    <t>ISE</t>
  </si>
  <si>
    <t>PTR</t>
  </si>
  <si>
    <t>Menunggu implementasi ALL Cabang</t>
  </si>
  <si>
    <t>BSU</t>
  </si>
  <si>
    <t>GPB</t>
  </si>
  <si>
    <t>RDG</t>
  </si>
  <si>
    <t xml:space="preserve">2 jenis Pajak </t>
  </si>
  <si>
    <t>DPP nilai Lain</t>
  </si>
  <si>
    <t>Blm</t>
  </si>
  <si>
    <t>Pajak Khusus: UMKM</t>
  </si>
  <si>
    <t>Biaya Sponsorship vs sumbangan</t>
  </si>
  <si>
    <t>IBG</t>
  </si>
  <si>
    <t>di-update di New BSI Pasti</t>
  </si>
  <si>
    <t>dibuatkan tambahan field di BSI Pasti untuk memperjelas mana Sponsorship, mana sumbangan</t>
  </si>
  <si>
    <t>Akses dok BSI Pasti untuk pemeriksaan pajak</t>
  </si>
  <si>
    <t>ISG IDG IOG ASP</t>
  </si>
  <si>
    <t>Server File Dok dipisah dan dapat diakses u pemeriksaan pajak</t>
  </si>
  <si>
    <t>Group KP banyak menggunakan metode Gross u transaksi pembayaran dn reimbursenya</t>
  </si>
  <si>
    <t>Unit KP meng-gross pajak terbanyak</t>
  </si>
  <si>
    <t>Memokan peringkat 1 Group yg berkontribusi beban  Pajak penghasilan (GROSS)</t>
  </si>
  <si>
    <t>Bagaimana implementasi perpajakan di Bank lain (BUMN dan Non BUMN) untuk promosi/pemberian hadiah ke nasabah</t>
  </si>
  <si>
    <t>CTO</t>
  </si>
  <si>
    <t>Benchmark ke Bank Mandiri</t>
  </si>
  <si>
    <t>Cabang banyak bertanya terkait Perpajakan</t>
  </si>
  <si>
    <t>CFA - Tim Pajak</t>
  </si>
  <si>
    <t>Design web pajak yang mengurangi pertanyaan ke Tim Pajak</t>
  </si>
  <si>
    <r>
      <rPr>
        <sz val="22"/>
        <color rgb="FF306E6B"/>
        <rFont val="Calibri"/>
        <family val="2"/>
        <scheme val="minor"/>
      </rPr>
      <t xml:space="preserve">                      SEWA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2" tint="-0.499984740745262"/>
        <rFont val="Calibri"/>
        <family val="2"/>
        <scheme val="minor"/>
      </rPr>
      <t xml:space="preserve">&gt; </t>
    </r>
    <r>
      <rPr>
        <b/>
        <sz val="11"/>
        <color theme="2" tint="-0.499984740745262"/>
        <rFont val="Calibri"/>
        <family val="2"/>
        <scheme val="minor"/>
      </rPr>
      <t xml:space="preserve">Sewa Tanah dan bangunan: </t>
    </r>
    <r>
      <rPr>
        <sz val="11"/>
        <color theme="2" tint="-0.499984740745262"/>
        <rFont val="Calibri"/>
        <family val="2"/>
        <scheme val="minor"/>
      </rPr>
      <t xml:space="preserve"> Sewa Gedung, Sewa Ruang untuk ATM, Sewa lahan untuk wallsign/pilonsign yang bebannya diamortisasi 
&gt; </t>
    </r>
    <r>
      <rPr>
        <b/>
        <sz val="11"/>
        <color theme="2" tint="-0.499984740745262"/>
        <rFont val="Calibri"/>
        <family val="2"/>
        <scheme val="minor"/>
      </rPr>
      <t>SELAIN Sewa Tanah dan bangunan</t>
    </r>
    <r>
      <rPr>
        <sz val="11"/>
        <color theme="2" tint="-0.499984740745262"/>
        <rFont val="Calibri"/>
        <family val="2"/>
        <scheme val="minor"/>
      </rPr>
      <t xml:space="preserve">:  Sewa Mesin Fotocopy, Printer, Scanner, Mesin Hitung Uang, Scanner </t>
    </r>
  </si>
  <si>
    <t>Gambar bisa diubah-ubah sesuai tema</t>
  </si>
  <si>
    <t>CFA telah melakukan penyesuaian limit penunjang kinera, untuk melihat dan mendownload memo sosialisasi perubahan PTO Penunjang Kinerja klik gambar di atas</t>
  </si>
  <si>
    <t>NPWP BSI</t>
  </si>
  <si>
    <t>Anda dapat mendownload NPWP BSI dengan menekan tombol di bawah</t>
  </si>
  <si>
    <t>Download NPWP</t>
  </si>
  <si>
    <t>Differences</t>
  </si>
  <si>
    <t>Bulan</t>
  </si>
  <si>
    <t>Sewa Tanah dan bangunan dikenakan PPh 4 ayat (2) sewa sebesar 10% dari nilai sewa. PPh tsb dipotong dari pembayaran sewa BSI ke vendor sehingga nominal yang diterima vendor adalah 90% dari nilai sewa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</si>
</sst>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_-;\-* #,##0_-;_-* \-??_-;_-@_-"/>
    <numFmt numFmtId="167" formatCode="_(* #,##0_);_(* \(#,##0\);_(* \-??_);_(@_)"/>
  </numFmts>
  <fonts count="10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48A39E"/>
      <name val="Calibri"/>
      <family val="2"/>
      <scheme val="minor"/>
    </font>
    <font>
      <sz val="11"/>
      <color rgb="FF48A39E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7"/>
      <color rgb="FFFF0000"/>
      <name val="Calibri"/>
      <family val="2"/>
      <scheme val="minor"/>
    </font>
    <font>
      <i/>
      <sz val="7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0"/>
      <color rgb="FF006666"/>
      <name val="Arial"/>
      <family val="2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u/>
      <sz val="9"/>
      <color rgb="FF187E86"/>
      <name val="Arial"/>
      <family val="2"/>
    </font>
    <font>
      <b/>
      <sz val="11"/>
      <name val="Calibri"/>
      <family val="2"/>
      <scheme val="minor"/>
    </font>
    <font>
      <b/>
      <sz val="9.5"/>
      <color theme="0"/>
      <name val="Arial"/>
      <family val="2"/>
    </font>
    <font>
      <b/>
      <sz val="9.5"/>
      <name val="Arial"/>
      <family val="2"/>
    </font>
    <font>
      <i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6"/>
      <color theme="1"/>
      <name val="Calibri"/>
      <family val="2"/>
      <scheme val="minor"/>
    </font>
    <font>
      <i/>
      <sz val="8"/>
      <color theme="2" tint="-0.749992370372631"/>
      <name val="Calibri"/>
      <family val="2"/>
      <scheme val="minor"/>
    </font>
    <font>
      <i/>
      <sz val="7"/>
      <color theme="2" tint="-0.749992370372631"/>
      <name val="Calibri"/>
      <family val="2"/>
      <scheme val="minor"/>
    </font>
    <font>
      <b/>
      <i/>
      <sz val="7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i/>
      <sz val="7"/>
      <color rgb="FF203764"/>
      <name val="Calibri"/>
      <family val="2"/>
      <scheme val="minor"/>
    </font>
    <font>
      <i/>
      <sz val="7"/>
      <color rgb="FF3A3838"/>
      <name val="Calibri"/>
      <family val="2"/>
      <scheme val="minor"/>
    </font>
    <font>
      <sz val="11"/>
      <color theme="0"/>
      <name val="Segoe UI"/>
      <family val="2"/>
    </font>
    <font>
      <b/>
      <vertAlign val="superscript"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Segoe UI"/>
      <family val="2"/>
    </font>
    <font>
      <sz val="12"/>
      <name val="Segoe UI"/>
      <family val="2"/>
    </font>
    <font>
      <sz val="9"/>
      <color rgb="FF3C8884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rgb="FF306E6B"/>
      <name val="Calibri"/>
      <family val="2"/>
      <scheme val="minor"/>
    </font>
    <font>
      <b/>
      <sz val="20"/>
      <color rgb="FF306E6B"/>
      <name val="Calibri"/>
      <family val="2"/>
      <scheme val="minor"/>
    </font>
    <font>
      <b/>
      <sz val="9"/>
      <color rgb="FF306E6B"/>
      <name val="Calibri"/>
      <family val="2"/>
      <scheme val="minor"/>
    </font>
    <font>
      <b/>
      <sz val="9"/>
      <color rgb="FF306E6B"/>
      <name val="Calibri"/>
      <family val="2"/>
    </font>
    <font>
      <b/>
      <sz val="12.6"/>
      <color rgb="FF306E6B"/>
      <name val="Calibri"/>
      <family val="2"/>
    </font>
    <font>
      <sz val="22"/>
      <color rgb="FF306E6B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name val="Segoe UI"/>
      <family val="2"/>
    </font>
    <font>
      <sz val="9"/>
      <color theme="1"/>
      <name val="Segoe UI"/>
      <charset val="1"/>
    </font>
    <font>
      <b/>
      <sz val="12"/>
      <name val="Segoe UI"/>
      <family val="2"/>
    </font>
    <font>
      <b/>
      <i/>
      <sz val="7"/>
      <color rgb="FF203764"/>
      <name val="Calibri"/>
      <scheme val="minor"/>
    </font>
    <font>
      <i/>
      <sz val="7"/>
      <color rgb="FF3A3838"/>
      <name val="Calibri"/>
      <scheme val="minor"/>
    </font>
    <font>
      <b/>
      <sz val="22"/>
      <color rgb="FF306E6B"/>
      <name val="Calibri"/>
      <family val="2"/>
      <scheme val="minor"/>
    </font>
    <font>
      <sz val="11"/>
      <color rgb="FF000000"/>
      <name val="Calibri"/>
    </font>
    <font>
      <sz val="16"/>
      <color rgb="FF660033"/>
      <name val="Calibri"/>
    </font>
    <font>
      <b/>
      <sz val="11"/>
      <color rgb="FF000000"/>
      <name val="Calibri"/>
    </font>
    <font>
      <sz val="11"/>
      <name val="Calibri"/>
    </font>
    <font>
      <b/>
      <sz val="12"/>
      <color rgb="FF000000"/>
      <name val="Calibri"/>
    </font>
    <font>
      <sz val="11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8A39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AD2C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B3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C7C7C"/>
        <bgColor rgb="FF7F7F7F"/>
      </patternFill>
    </fill>
    <fill>
      <patternFill patternType="solid">
        <fgColor rgb="FF7F7F7F"/>
        <bgColor rgb="FF7C7C7C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41959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3C8884"/>
        <bgColor indexed="64"/>
      </patternFill>
    </fill>
    <fill>
      <patternFill patternType="solid">
        <fgColor rgb="FF306E6B"/>
        <bgColor indexed="64"/>
      </patternFill>
    </fill>
    <fill>
      <patternFill patternType="solid">
        <fgColor rgb="FFFFDE7A"/>
        <bgColor indexed="64"/>
      </patternFill>
    </fill>
    <fill>
      <patternFill patternType="solid">
        <fgColor rgb="FFFC980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</fills>
  <borders count="17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419591"/>
      </left>
      <right/>
      <top style="thin">
        <color rgb="FF419591"/>
      </top>
      <bottom/>
      <diagonal/>
    </border>
    <border>
      <left/>
      <right/>
      <top style="thin">
        <color rgb="FF419591"/>
      </top>
      <bottom/>
      <diagonal/>
    </border>
    <border>
      <left/>
      <right style="thin">
        <color rgb="FF419591"/>
      </right>
      <top style="thin">
        <color rgb="FF419591"/>
      </top>
      <bottom/>
      <diagonal/>
    </border>
    <border>
      <left style="thin">
        <color rgb="FF419591"/>
      </left>
      <right/>
      <top/>
      <bottom/>
      <diagonal/>
    </border>
    <border>
      <left/>
      <right style="thin">
        <color rgb="FF419591"/>
      </right>
      <top/>
      <bottom/>
      <diagonal/>
    </border>
    <border>
      <left style="thin">
        <color rgb="FF419591"/>
      </left>
      <right/>
      <top/>
      <bottom style="thin">
        <color rgb="FF419591"/>
      </bottom>
      <diagonal/>
    </border>
    <border>
      <left/>
      <right/>
      <top/>
      <bottom style="thin">
        <color rgb="FF419591"/>
      </bottom>
      <diagonal/>
    </border>
    <border>
      <left/>
      <right style="thin">
        <color rgb="FF419591"/>
      </right>
      <top/>
      <bottom style="thin">
        <color rgb="FF41959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0.34998626667073579"/>
      </bottom>
      <diagonal/>
    </border>
    <border>
      <left/>
      <right/>
      <top style="thin">
        <color theme="0" tint="-4.9989318521683403E-2"/>
      </top>
      <bottom style="thin">
        <color theme="0" tint="-0.34998626667073579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rgb="FF306E6B"/>
      </left>
      <right style="medium">
        <color rgb="FF306E6B"/>
      </right>
      <top style="medium">
        <color rgb="FF306E6B"/>
      </top>
      <bottom/>
      <diagonal/>
    </border>
    <border>
      <left style="medium">
        <color rgb="FF306E6B"/>
      </left>
      <right style="medium">
        <color rgb="FF306E6B"/>
      </right>
      <top/>
      <bottom/>
      <diagonal/>
    </border>
    <border>
      <left style="medium">
        <color rgb="FF306E6B"/>
      </left>
      <right style="medium">
        <color rgb="FF306E6B"/>
      </right>
      <top/>
      <bottom style="medium">
        <color rgb="FF306E6B"/>
      </bottom>
      <diagonal/>
    </border>
    <border>
      <left style="thin">
        <color rgb="FF3C8884"/>
      </left>
      <right/>
      <top style="thin">
        <color rgb="FF3C8884"/>
      </top>
      <bottom/>
      <diagonal/>
    </border>
    <border>
      <left/>
      <right/>
      <top style="thin">
        <color rgb="FF3C8884"/>
      </top>
      <bottom/>
      <diagonal/>
    </border>
    <border>
      <left/>
      <right style="thin">
        <color rgb="FF3C8884"/>
      </right>
      <top style="thin">
        <color rgb="FF3C8884"/>
      </top>
      <bottom/>
      <diagonal/>
    </border>
    <border>
      <left style="thin">
        <color rgb="FF3C8884"/>
      </left>
      <right/>
      <top/>
      <bottom/>
      <diagonal/>
    </border>
    <border>
      <left/>
      <right style="thin">
        <color rgb="FF3C8884"/>
      </right>
      <top/>
      <bottom/>
      <diagonal/>
    </border>
    <border>
      <left style="thin">
        <color rgb="FF3C8884"/>
      </left>
      <right/>
      <top/>
      <bottom style="thin">
        <color rgb="FF3C8884"/>
      </bottom>
      <diagonal/>
    </border>
    <border>
      <left/>
      <right/>
      <top/>
      <bottom style="thin">
        <color rgb="FF3C8884"/>
      </bottom>
      <diagonal/>
    </border>
    <border>
      <left/>
      <right style="thin">
        <color rgb="FF3C8884"/>
      </right>
      <top/>
      <bottom style="thin">
        <color rgb="FF3C888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249977111117893"/>
      </left>
      <right/>
      <top style="thin">
        <color theme="0" tint="-0.499984740745262"/>
      </top>
      <bottom/>
      <diagonal/>
    </border>
    <border>
      <left style="thin">
        <color theme="2" tint="-0.249977111117893"/>
      </left>
      <right/>
      <top/>
      <bottom style="thin">
        <color theme="0" tint="-0.499984740745262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 style="thin">
        <color theme="0" tint="-0.14999847407452621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thin">
        <color theme="0" tint="-0.14999847407452621"/>
      </left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/>
      <diagonal/>
    </border>
    <border>
      <left/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/>
      <bottom/>
      <diagonal/>
    </border>
    <border>
      <left/>
      <right style="thin">
        <color theme="2" tint="-9.9917600024414813E-2"/>
      </right>
      <top/>
      <bottom/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/>
      <diagonal/>
    </border>
    <border>
      <left/>
      <right/>
      <top/>
      <bottom style="thin">
        <color theme="2" tint="-9.9917600024414813E-2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306E6B"/>
      </left>
      <right/>
      <top style="thin">
        <color rgb="FF306E6B"/>
      </top>
      <bottom/>
      <diagonal/>
    </border>
    <border>
      <left/>
      <right/>
      <top style="thin">
        <color rgb="FF306E6B"/>
      </top>
      <bottom/>
      <diagonal/>
    </border>
    <border>
      <left/>
      <right style="thin">
        <color rgb="FF306E6B"/>
      </right>
      <top style="thin">
        <color rgb="FF306E6B"/>
      </top>
      <bottom/>
      <diagonal/>
    </border>
    <border>
      <left style="thin">
        <color rgb="FF306E6B"/>
      </left>
      <right/>
      <top/>
      <bottom/>
      <diagonal/>
    </border>
    <border>
      <left/>
      <right style="thin">
        <color rgb="FF306E6B"/>
      </right>
      <top/>
      <bottom/>
      <diagonal/>
    </border>
    <border>
      <left style="thin">
        <color rgb="FF306E6B"/>
      </left>
      <right/>
      <top/>
      <bottom style="thin">
        <color rgb="FF306E6B"/>
      </bottom>
      <diagonal/>
    </border>
    <border>
      <left/>
      <right/>
      <top/>
      <bottom style="thin">
        <color rgb="FF306E6B"/>
      </bottom>
      <diagonal/>
    </border>
    <border>
      <left/>
      <right style="thin">
        <color rgb="FF306E6B"/>
      </right>
      <top/>
      <bottom style="thin">
        <color rgb="FF306E6B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6">
    <xf numFmtId="0" fontId="0" fillId="0" borderId="0" xfId="0"/>
    <xf numFmtId="0" fontId="19" fillId="35" borderId="13" xfId="0" applyFont="1" applyFill="1" applyBorder="1" applyAlignment="1">
      <alignment horizontal="center" vertical="center"/>
    </xf>
    <xf numFmtId="0" fontId="18" fillId="0" borderId="0" xfId="0" applyFont="1"/>
    <xf numFmtId="0" fontId="0" fillId="35" borderId="0" xfId="0" applyFill="1"/>
    <xf numFmtId="0" fontId="0" fillId="35" borderId="0" xfId="0" applyFill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 wrapText="1"/>
    </xf>
    <xf numFmtId="0" fontId="18" fillId="3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left" indent="1"/>
    </xf>
    <xf numFmtId="0" fontId="0" fillId="0" borderId="14" xfId="0" applyBorder="1" applyAlignment="1">
      <alignment horizontal="left" vertical="top" wrapText="1" inden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vertical="top" indent="1"/>
    </xf>
    <xf numFmtId="0" fontId="0" fillId="0" borderId="14" xfId="0" applyBorder="1" applyAlignment="1">
      <alignment vertical="top" wrapText="1" indent="1"/>
    </xf>
    <xf numFmtId="0" fontId="0" fillId="37" borderId="0" xfId="0" applyFill="1"/>
    <xf numFmtId="0" fontId="0" fillId="37" borderId="17" xfId="0" applyFill="1" applyBorder="1"/>
    <xf numFmtId="0" fontId="0" fillId="37" borderId="18" xfId="0" applyFill="1" applyBorder="1"/>
    <xf numFmtId="0" fontId="0" fillId="37" borderId="19" xfId="0" applyFill="1" applyBorder="1"/>
    <xf numFmtId="0" fontId="0" fillId="37" borderId="20" xfId="0" applyFill="1" applyBorder="1"/>
    <xf numFmtId="0" fontId="0" fillId="37" borderId="21" xfId="0" applyFill="1" applyBorder="1"/>
    <xf numFmtId="0" fontId="0" fillId="37" borderId="22" xfId="0" applyFill="1" applyBorder="1"/>
    <xf numFmtId="0" fontId="0" fillId="37" borderId="15" xfId="0" applyFill="1" applyBorder="1"/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left" vertical="center" indent="1"/>
    </xf>
    <xf numFmtId="0" fontId="33" fillId="0" borderId="0" xfId="0" applyFont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37" borderId="16" xfId="0" applyFill="1" applyBorder="1"/>
    <xf numFmtId="0" fontId="0" fillId="37" borderId="16" xfId="0" applyFill="1" applyBorder="1" applyAlignment="1">
      <alignment horizontal="center"/>
    </xf>
    <xf numFmtId="0" fontId="0" fillId="37" borderId="0" xfId="0" applyFill="1" applyAlignment="1">
      <alignment horizontal="center"/>
    </xf>
    <xf numFmtId="0" fontId="0" fillId="39" borderId="23" xfId="0" applyFill="1" applyBorder="1"/>
    <xf numFmtId="0" fontId="23" fillId="39" borderId="24" xfId="0" applyFont="1" applyFill="1" applyBorder="1"/>
    <xf numFmtId="0" fontId="0" fillId="39" borderId="24" xfId="0" applyFill="1" applyBorder="1"/>
    <xf numFmtId="0" fontId="0" fillId="39" borderId="25" xfId="0" applyFill="1" applyBorder="1"/>
    <xf numFmtId="0" fontId="23" fillId="0" borderId="0" xfId="0" applyFont="1"/>
    <xf numFmtId="0" fontId="35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40" fillId="0" borderId="0" xfId="0" applyFont="1"/>
    <xf numFmtId="0" fontId="15" fillId="35" borderId="0" xfId="0" applyFont="1" applyFill="1" applyAlignment="1">
      <alignment horizontal="center" vertical="center" wrapText="1"/>
    </xf>
    <xf numFmtId="0" fontId="41" fillId="42" borderId="0" xfId="0" applyFont="1" applyFill="1" applyAlignment="1">
      <alignment horizontal="center" vertical="center" wrapText="1"/>
    </xf>
    <xf numFmtId="0" fontId="15" fillId="42" borderId="0" xfId="0" applyFont="1" applyFill="1" applyAlignment="1">
      <alignment horizontal="center" vertical="center" wrapText="1"/>
    </xf>
    <xf numFmtId="0" fontId="15" fillId="43" borderId="0" xfId="0" applyFont="1" applyFill="1" applyAlignment="1">
      <alignment horizontal="center" vertical="center" wrapText="1"/>
    </xf>
    <xf numFmtId="0" fontId="0" fillId="44" borderId="30" xfId="0" applyFill="1" applyBorder="1" applyAlignment="1">
      <alignment horizontal="center"/>
    </xf>
    <xf numFmtId="0" fontId="21" fillId="44" borderId="31" xfId="0" applyFont="1" applyFill="1" applyBorder="1" applyAlignment="1">
      <alignment horizontal="right" inden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7" fillId="44" borderId="28" xfId="0" applyFont="1" applyFill="1" applyBorder="1" applyAlignment="1">
      <alignment horizontal="left" vertical="center" indent="1"/>
    </xf>
    <xf numFmtId="0" fontId="41" fillId="43" borderId="0" xfId="0" applyFont="1" applyFill="1" applyAlignment="1">
      <alignment horizontal="center" vertical="center" wrapText="1"/>
    </xf>
    <xf numFmtId="0" fontId="18" fillId="0" borderId="13" xfId="0" applyFont="1" applyBorder="1" applyAlignment="1">
      <alignment horizontal="center"/>
    </xf>
    <xf numFmtId="0" fontId="21" fillId="44" borderId="29" xfId="0" applyFont="1" applyFill="1" applyBorder="1" applyAlignment="1">
      <alignment horizontal="right" indent="1"/>
    </xf>
    <xf numFmtId="49" fontId="2" fillId="0" borderId="0" xfId="43" applyNumberFormat="1"/>
    <xf numFmtId="49" fontId="0" fillId="0" borderId="0" xfId="44" applyNumberFormat="1" applyFont="1" applyFill="1" applyBorder="1" applyAlignment="1"/>
    <xf numFmtId="0" fontId="2" fillId="0" borderId="0" xfId="43"/>
    <xf numFmtId="49" fontId="45" fillId="0" borderId="0" xfId="43" applyNumberFormat="1" applyFont="1" applyAlignment="1">
      <alignment horizontal="left"/>
    </xf>
    <xf numFmtId="49" fontId="2" fillId="0" borderId="0" xfId="43" applyNumberFormat="1" applyAlignment="1">
      <alignment horizontal="left"/>
    </xf>
    <xf numFmtId="49" fontId="3" fillId="0" borderId="0" xfId="45" applyNumberFormat="1" applyFont="1"/>
    <xf numFmtId="0" fontId="0" fillId="40" borderId="13" xfId="0" applyFill="1" applyBorder="1"/>
    <xf numFmtId="0" fontId="0" fillId="40" borderId="13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0" fontId="29" fillId="40" borderId="38" xfId="0" applyFont="1" applyFill="1" applyBorder="1" applyAlignment="1">
      <alignment horizontal="center"/>
    </xf>
    <xf numFmtId="0" fontId="29" fillId="40" borderId="13" xfId="0" applyFont="1" applyFill="1" applyBorder="1"/>
    <xf numFmtId="0" fontId="0" fillId="41" borderId="13" xfId="0" applyFill="1" applyBorder="1" applyAlignment="1">
      <alignment horizontal="left" indent="1"/>
    </xf>
    <xf numFmtId="0" fontId="0" fillId="40" borderId="13" xfId="0" applyFill="1" applyBorder="1" applyAlignment="1">
      <alignment horizontal="left" indent="1"/>
    </xf>
    <xf numFmtId="0" fontId="18" fillId="0" borderId="40" xfId="0" applyFont="1" applyBorder="1" applyAlignment="1">
      <alignment horizontal="center"/>
    </xf>
    <xf numFmtId="0" fontId="0" fillId="41" borderId="40" xfId="0" applyFill="1" applyBorder="1" applyAlignment="1">
      <alignment horizontal="center"/>
    </xf>
    <xf numFmtId="0" fontId="29" fillId="40" borderId="40" xfId="0" applyFont="1" applyFill="1" applyBorder="1" applyAlignment="1">
      <alignment horizontal="center"/>
    </xf>
    <xf numFmtId="0" fontId="47" fillId="0" borderId="0" xfId="0" applyFont="1" applyAlignment="1">
      <alignment horizontal="left" vertical="top" wrapText="1"/>
    </xf>
    <xf numFmtId="0" fontId="0" fillId="41" borderId="42" xfId="0" applyFill="1" applyBorder="1"/>
    <xf numFmtId="0" fontId="0" fillId="40" borderId="39" xfId="0" applyFill="1" applyBorder="1" applyAlignment="1">
      <alignment horizontal="left" indent="1"/>
    </xf>
    <xf numFmtId="0" fontId="0" fillId="41" borderId="11" xfId="0" applyFill="1" applyBorder="1"/>
    <xf numFmtId="0" fontId="18" fillId="0" borderId="37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32" fillId="44" borderId="27" xfId="0" applyFont="1" applyFill="1" applyBorder="1" applyAlignment="1">
      <alignment horizontal="left" vertical="center"/>
    </xf>
    <xf numFmtId="0" fontId="48" fillId="0" borderId="0" xfId="0" applyFont="1" applyAlignment="1">
      <alignment vertical="top"/>
    </xf>
    <xf numFmtId="0" fontId="46" fillId="0" borderId="0" xfId="0" applyFont="1" applyAlignment="1">
      <alignment horizontal="left"/>
    </xf>
    <xf numFmtId="0" fontId="27" fillId="34" borderId="0" xfId="0" applyFont="1" applyFill="1" applyAlignment="1">
      <alignment horizontal="center" vertical="center"/>
    </xf>
    <xf numFmtId="0" fontId="0" fillId="36" borderId="13" xfId="0" applyFill="1" applyBorder="1" applyAlignment="1">
      <alignment horizontal="left" indent="1"/>
    </xf>
    <xf numFmtId="0" fontId="0" fillId="36" borderId="13" xfId="0" applyFill="1" applyBorder="1" applyAlignment="1">
      <alignment horizontal="center"/>
    </xf>
    <xf numFmtId="0" fontId="0" fillId="36" borderId="37" xfId="0" applyFill="1" applyBorder="1" applyAlignment="1">
      <alignment horizontal="left" indent="1"/>
    </xf>
    <xf numFmtId="0" fontId="0" fillId="36" borderId="38" xfId="0" applyFill="1" applyBorder="1" applyAlignment="1">
      <alignment horizontal="center" vertical="center"/>
    </xf>
    <xf numFmtId="0" fontId="0" fillId="36" borderId="13" xfId="0" applyFill="1" applyBorder="1"/>
    <xf numFmtId="0" fontId="0" fillId="36" borderId="10" xfId="0" applyFill="1" applyBorder="1" applyAlignment="1">
      <alignment horizontal="center" vertical="center"/>
    </xf>
    <xf numFmtId="0" fontId="0" fillId="36" borderId="37" xfId="0" applyFill="1" applyBorder="1"/>
    <xf numFmtId="0" fontId="0" fillId="36" borderId="45" xfId="0" applyFill="1" applyBorder="1"/>
    <xf numFmtId="0" fontId="0" fillId="36" borderId="41" xfId="0" applyFill="1" applyBorder="1"/>
    <xf numFmtId="0" fontId="0" fillId="36" borderId="38" xfId="0" applyFill="1" applyBorder="1" applyAlignment="1">
      <alignment horizontal="left" indent="1"/>
    </xf>
    <xf numFmtId="0" fontId="0" fillId="36" borderId="10" xfId="0" applyFill="1" applyBorder="1" applyAlignment="1">
      <alignment horizontal="left" indent="1"/>
    </xf>
    <xf numFmtId="0" fontId="0" fillId="36" borderId="45" xfId="0" applyFill="1" applyBorder="1" applyAlignment="1">
      <alignment horizontal="center" vertical="center"/>
    </xf>
    <xf numFmtId="0" fontId="0" fillId="36" borderId="40" xfId="0" applyFill="1" applyBorder="1" applyAlignment="1">
      <alignment horizontal="center"/>
    </xf>
    <xf numFmtId="0" fontId="0" fillId="36" borderId="38" xfId="0" applyFill="1" applyBorder="1" applyAlignment="1">
      <alignment horizontal="center"/>
    </xf>
    <xf numFmtId="0" fontId="36" fillId="0" borderId="0" xfId="0" applyFont="1"/>
    <xf numFmtId="0" fontId="0" fillId="34" borderId="0" xfId="0" applyFill="1" applyAlignment="1">
      <alignment horizontal="left" vertical="center"/>
    </xf>
    <xf numFmtId="0" fontId="46" fillId="0" borderId="0" xfId="0" applyFont="1" applyAlignment="1">
      <alignment horizontal="left" vertical="top"/>
    </xf>
    <xf numFmtId="0" fontId="49" fillId="0" borderId="32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33" xfId="0" applyFont="1" applyBorder="1" applyAlignment="1">
      <alignment horizontal="center"/>
    </xf>
    <xf numFmtId="0" fontId="49" fillId="0" borderId="34" xfId="0" applyFont="1" applyBorder="1" applyAlignment="1">
      <alignment horizontal="center"/>
    </xf>
    <xf numFmtId="0" fontId="49" fillId="0" borderId="35" xfId="0" applyFont="1" applyBorder="1" applyAlignment="1">
      <alignment horizontal="center"/>
    </xf>
    <xf numFmtId="0" fontId="49" fillId="0" borderId="36" xfId="0" applyFont="1" applyBorder="1" applyAlignment="1">
      <alignment horizontal="center"/>
    </xf>
    <xf numFmtId="0" fontId="47" fillId="0" borderId="0" xfId="0" applyFont="1" applyAlignment="1">
      <alignment horizontal="left" vertical="top"/>
    </xf>
    <xf numFmtId="0" fontId="37" fillId="44" borderId="28" xfId="0" applyFont="1" applyFill="1" applyBorder="1" applyAlignment="1">
      <alignment horizontal="left" vertical="center" indent="1"/>
    </xf>
    <xf numFmtId="0" fontId="37" fillId="44" borderId="46" xfId="0" applyFont="1" applyFill="1" applyBorder="1" applyAlignment="1">
      <alignment horizontal="center" vertical="center"/>
    </xf>
    <xf numFmtId="0" fontId="20" fillId="0" borderId="0" xfId="0" applyFont="1"/>
    <xf numFmtId="0" fontId="51" fillId="35" borderId="46" xfId="0" applyFont="1" applyFill="1" applyBorder="1" applyAlignment="1">
      <alignment horizontal="center" vertical="center"/>
    </xf>
    <xf numFmtId="0" fontId="50" fillId="44" borderId="27" xfId="0" applyFont="1" applyFill="1" applyBorder="1" applyAlignment="1">
      <alignment horizontal="left" vertical="center" indent="1"/>
    </xf>
    <xf numFmtId="0" fontId="51" fillId="45" borderId="46" xfId="0" applyFont="1" applyFill="1" applyBorder="1" applyAlignment="1">
      <alignment horizontal="center" vertical="center"/>
    </xf>
    <xf numFmtId="0" fontId="43" fillId="0" borderId="0" xfId="0" applyFont="1"/>
    <xf numFmtId="0" fontId="29" fillId="40" borderId="47" xfId="0" applyFont="1" applyFill="1" applyBorder="1" applyAlignment="1">
      <alignment horizontal="center"/>
    </xf>
    <xf numFmtId="0" fontId="29" fillId="40" borderId="37" xfId="0" applyFont="1" applyFill="1" applyBorder="1"/>
    <xf numFmtId="0" fontId="29" fillId="40" borderId="40" xfId="0" applyFont="1" applyFill="1" applyBorder="1" applyAlignment="1">
      <alignment horizontal="left"/>
    </xf>
    <xf numFmtId="0" fontId="43" fillId="0" borderId="0" xfId="0" applyFont="1" applyAlignment="1">
      <alignment vertical="center"/>
    </xf>
    <xf numFmtId="0" fontId="53" fillId="0" borderId="0" xfId="0" applyFont="1"/>
    <xf numFmtId="0" fontId="54" fillId="47" borderId="51" xfId="0" applyFont="1" applyFill="1" applyBorder="1" applyAlignment="1">
      <alignment horizontal="center" vertical="center"/>
    </xf>
    <xf numFmtId="0" fontId="40" fillId="0" borderId="26" xfId="0" applyFont="1" applyBorder="1"/>
    <xf numFmtId="0" fontId="0" fillId="0" borderId="0" xfId="0" applyAlignment="1">
      <alignment horizontal="center" vertical="center"/>
    </xf>
    <xf numFmtId="0" fontId="56" fillId="47" borderId="0" xfId="0" applyFont="1" applyFill="1" applyAlignment="1">
      <alignment horizontal="centerContinuous" vertical="center"/>
    </xf>
    <xf numFmtId="0" fontId="40" fillId="47" borderId="0" xfId="0" applyFont="1" applyFill="1" applyAlignment="1">
      <alignment horizontal="centerContinuous" vertical="center"/>
    </xf>
    <xf numFmtId="0" fontId="55" fillId="47" borderId="0" xfId="0" applyFont="1" applyFill="1" applyAlignment="1">
      <alignment horizontal="centerContinuous" vertical="center"/>
    </xf>
    <xf numFmtId="0" fontId="57" fillId="0" borderId="53" xfId="0" applyFont="1" applyBorder="1" applyAlignment="1" applyProtection="1">
      <alignment vertical="top"/>
      <protection locked="0"/>
    </xf>
    <xf numFmtId="0" fontId="56" fillId="48" borderId="0" xfId="0" applyFont="1" applyFill="1" applyAlignment="1">
      <alignment horizontal="centerContinuous" vertical="center"/>
    </xf>
    <xf numFmtId="165" fontId="59" fillId="48" borderId="0" xfId="42" applyNumberFormat="1" applyFont="1" applyFill="1" applyBorder="1" applyAlignment="1" applyProtection="1">
      <alignment horizontal="centerContinuous" vertical="center"/>
      <protection locked="0"/>
    </xf>
    <xf numFmtId="0" fontId="31" fillId="0" borderId="0" xfId="0" applyFont="1" applyAlignment="1">
      <alignment horizontal="center" vertical="center"/>
    </xf>
    <xf numFmtId="49" fontId="0" fillId="0" borderId="0" xfId="0" applyNumberFormat="1"/>
    <xf numFmtId="49" fontId="4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45" fillId="0" borderId="0" xfId="0" applyNumberFormat="1" applyFont="1" applyAlignment="1">
      <alignment horizontal="center"/>
    </xf>
    <xf numFmtId="49" fontId="45" fillId="0" borderId="48" xfId="0" applyNumberFormat="1" applyFont="1" applyBorder="1" applyAlignment="1">
      <alignment horizontal="center"/>
    </xf>
    <xf numFmtId="49" fontId="0" fillId="0" borderId="48" xfId="0" applyNumberFormat="1" applyBorder="1"/>
    <xf numFmtId="49" fontId="0" fillId="0" borderId="48" xfId="0" applyNumberFormat="1" applyBorder="1" applyAlignment="1">
      <alignment horizontal="left"/>
    </xf>
    <xf numFmtId="49" fontId="0" fillId="0" borderId="48" xfId="0" applyNumberForma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61" fillId="0" borderId="0" xfId="0" applyFont="1" applyAlignment="1">
      <alignment vertical="center"/>
    </xf>
    <xf numFmtId="49" fontId="0" fillId="0" borderId="23" xfId="0" applyNumberFormat="1" applyBorder="1"/>
    <xf numFmtId="49" fontId="0" fillId="0" borderId="25" xfId="0" applyNumberFormat="1" applyBorder="1" applyAlignment="1">
      <alignment horizontal="center"/>
    </xf>
    <xf numFmtId="49" fontId="0" fillId="0" borderId="49" xfId="0" applyNumberFormat="1" applyBorder="1"/>
    <xf numFmtId="49" fontId="0" fillId="0" borderId="23" xfId="0" applyNumberFormat="1" applyBorder="1" applyAlignment="1">
      <alignment horizontal="center"/>
    </xf>
    <xf numFmtId="49" fontId="0" fillId="0" borderId="25" xfId="0" applyNumberFormat="1" applyBorder="1" applyAlignment="1">
      <alignment horizontal="left"/>
    </xf>
    <xf numFmtId="49" fontId="0" fillId="0" borderId="49" xfId="0" applyNumberFormat="1" applyBorder="1" applyAlignment="1">
      <alignment horizontal="left"/>
    </xf>
    <xf numFmtId="49" fontId="30" fillId="46" borderId="54" xfId="0" applyNumberFormat="1" applyFont="1" applyFill="1" applyBorder="1"/>
    <xf numFmtId="49" fontId="30" fillId="49" borderId="48" xfId="0" applyNumberFormat="1" applyFont="1" applyFill="1" applyBorder="1"/>
    <xf numFmtId="49" fontId="30" fillId="49" borderId="50" xfId="0" applyNumberFormat="1" applyFont="1" applyFill="1" applyBorder="1"/>
    <xf numFmtId="49" fontId="30" fillId="49" borderId="54" xfId="0" applyNumberFormat="1" applyFont="1" applyFill="1" applyBorder="1" applyAlignment="1">
      <alignment vertical="center"/>
    </xf>
    <xf numFmtId="0" fontId="43" fillId="0" borderId="0" xfId="0" applyFont="1" applyAlignment="1">
      <alignment horizontal="left"/>
    </xf>
    <xf numFmtId="0" fontId="62" fillId="0" borderId="0" xfId="0" applyFont="1" applyAlignment="1">
      <alignment vertical="top"/>
    </xf>
    <xf numFmtId="0" fontId="37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51" fillId="35" borderId="0" xfId="0" applyFont="1" applyFill="1" applyAlignment="1">
      <alignment horizontal="left" vertical="center"/>
    </xf>
    <xf numFmtId="0" fontId="64" fillId="50" borderId="23" xfId="0" applyFont="1" applyFill="1" applyBorder="1" applyAlignment="1">
      <alignment horizontal="center" vertical="center" wrapText="1"/>
    </xf>
    <xf numFmtId="0" fontId="64" fillId="50" borderId="48" xfId="0" applyFont="1" applyFill="1" applyBorder="1" applyAlignment="1">
      <alignment horizontal="center" vertical="center" wrapText="1"/>
    </xf>
    <xf numFmtId="166" fontId="66" fillId="0" borderId="48" xfId="42" applyNumberFormat="1" applyFont="1" applyBorder="1" applyAlignment="1" applyProtection="1">
      <alignment horizontal="center" vertical="center"/>
    </xf>
    <xf numFmtId="15" fontId="66" fillId="0" borderId="48" xfId="0" applyNumberFormat="1" applyFont="1" applyBorder="1" applyAlignment="1">
      <alignment vertical="center"/>
    </xf>
    <xf numFmtId="166" fontId="67" fillId="0" borderId="48" xfId="42" applyNumberFormat="1" applyFont="1" applyBorder="1" applyAlignment="1" applyProtection="1">
      <alignment vertical="center"/>
    </xf>
    <xf numFmtId="166" fontId="66" fillId="0" borderId="48" xfId="42" applyNumberFormat="1" applyFont="1" applyBorder="1" applyAlignment="1" applyProtection="1">
      <alignment vertical="center"/>
    </xf>
    <xf numFmtId="0" fontId="0" fillId="0" borderId="49" xfId="0" applyBorder="1" applyAlignment="1">
      <alignment horizontal="center" vertical="center" wrapText="1"/>
    </xf>
    <xf numFmtId="0" fontId="65" fillId="0" borderId="48" xfId="0" applyFont="1" applyBorder="1" applyAlignment="1">
      <alignment vertical="center"/>
    </xf>
    <xf numFmtId="167" fontId="66" fillId="0" borderId="48" xfId="45" applyNumberFormat="1" applyFont="1" applyBorder="1" applyAlignment="1" applyProtection="1">
      <alignment vertical="center"/>
    </xf>
    <xf numFmtId="166" fontId="66" fillId="37" borderId="48" xfId="42" applyNumberFormat="1" applyFont="1" applyFill="1" applyBorder="1" applyAlignment="1" applyProtection="1">
      <alignment vertical="center"/>
    </xf>
    <xf numFmtId="15" fontId="66" fillId="0" borderId="48" xfId="0" applyNumberFormat="1" applyFont="1" applyBorder="1" applyAlignment="1">
      <alignment horizontal="right" vertical="center"/>
    </xf>
    <xf numFmtId="0" fontId="64" fillId="51" borderId="48" xfId="0" applyFont="1" applyFill="1" applyBorder="1" applyAlignment="1">
      <alignment horizontal="center" vertical="center"/>
    </xf>
    <xf numFmtId="166" fontId="64" fillId="51" borderId="48" xfId="0" applyNumberFormat="1" applyFont="1" applyFill="1" applyBorder="1" applyAlignment="1">
      <alignment horizontal="center" vertical="center"/>
    </xf>
    <xf numFmtId="166" fontId="66" fillId="38" borderId="48" xfId="42" applyNumberFormat="1" applyFont="1" applyFill="1" applyBorder="1" applyAlignment="1" applyProtection="1">
      <alignment horizontal="center" vertical="center"/>
    </xf>
    <xf numFmtId="15" fontId="66" fillId="38" borderId="48" xfId="0" applyNumberFormat="1" applyFont="1" applyFill="1" applyBorder="1" applyAlignment="1">
      <alignment vertical="center"/>
    </xf>
    <xf numFmtId="166" fontId="67" fillId="38" borderId="48" xfId="42" applyNumberFormat="1" applyFont="1" applyFill="1" applyBorder="1" applyAlignment="1" applyProtection="1">
      <alignment vertical="center"/>
    </xf>
    <xf numFmtId="49" fontId="45" fillId="0" borderId="48" xfId="0" applyNumberFormat="1" applyFont="1" applyBorder="1" applyAlignment="1">
      <alignment horizontal="center" vertical="center"/>
    </xf>
    <xf numFmtId="0" fontId="0" fillId="41" borderId="12" xfId="0" applyFill="1" applyBorder="1" applyAlignment="1">
      <alignment horizontal="center" vertical="center"/>
    </xf>
    <xf numFmtId="0" fontId="0" fillId="41" borderId="38" xfId="0" applyFill="1" applyBorder="1" applyAlignment="1">
      <alignment horizontal="center" vertical="center"/>
    </xf>
    <xf numFmtId="0" fontId="0" fillId="40" borderId="38" xfId="0" applyFill="1" applyBorder="1" applyAlignment="1">
      <alignment horizontal="center" vertical="center"/>
    </xf>
    <xf numFmtId="0" fontId="0" fillId="36" borderId="49" xfId="0" applyFill="1" applyBorder="1" applyAlignment="1">
      <alignment horizontal="center" vertical="top"/>
    </xf>
    <xf numFmtId="0" fontId="0" fillId="36" borderId="55" xfId="0" applyFill="1" applyBorder="1" applyAlignment="1">
      <alignment horizontal="center" vertical="top"/>
    </xf>
    <xf numFmtId="0" fontId="69" fillId="0" borderId="0" xfId="0" applyFont="1" applyAlignment="1">
      <alignment horizontal="center" vertical="top"/>
    </xf>
    <xf numFmtId="0" fontId="24" fillId="0" borderId="0" xfId="0" applyFont="1"/>
    <xf numFmtId="0" fontId="69" fillId="0" borderId="0" xfId="0" applyFont="1" applyAlignment="1">
      <alignment horizontal="center"/>
    </xf>
    <xf numFmtId="0" fontId="25" fillId="0" borderId="0" xfId="0" applyFont="1"/>
    <xf numFmtId="0" fontId="71" fillId="0" borderId="0" xfId="0" applyFont="1"/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 vertical="top"/>
    </xf>
    <xf numFmtId="0" fontId="72" fillId="0" borderId="0" xfId="0" applyFont="1" applyAlignment="1">
      <alignment horizontal="right" vertical="top" wrapText="1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72" fillId="0" borderId="62" xfId="0" applyFont="1" applyBorder="1" applyAlignment="1">
      <alignment horizontal="left" vertical="top"/>
    </xf>
    <xf numFmtId="0" fontId="0" fillId="0" borderId="63" xfId="0" applyBorder="1"/>
    <xf numFmtId="0" fontId="72" fillId="0" borderId="62" xfId="0" applyFont="1" applyBorder="1" applyAlignment="1">
      <alignment horizontal="right" vertical="top" wrapText="1"/>
    </xf>
    <xf numFmtId="0" fontId="0" fillId="0" borderId="65" xfId="0" applyBorder="1"/>
    <xf numFmtId="0" fontId="0" fillId="0" borderId="66" xfId="0" applyBorder="1"/>
    <xf numFmtId="0" fontId="0" fillId="0" borderId="68" xfId="0" applyBorder="1"/>
    <xf numFmtId="0" fontId="0" fillId="0" borderId="70" xfId="0" applyBorder="1"/>
    <xf numFmtId="0" fontId="0" fillId="0" borderId="71" xfId="0" applyBorder="1"/>
    <xf numFmtId="0" fontId="74" fillId="39" borderId="64" xfId="0" applyFont="1" applyFill="1" applyBorder="1"/>
    <xf numFmtId="0" fontId="74" fillId="39" borderId="65" xfId="0" applyFont="1" applyFill="1" applyBorder="1"/>
    <xf numFmtId="0" fontId="74" fillId="39" borderId="65" xfId="0" applyFont="1" applyFill="1" applyBorder="1" applyAlignment="1">
      <alignment vertical="center"/>
    </xf>
    <xf numFmtId="0" fontId="74" fillId="39" borderId="65" xfId="0" applyFont="1" applyFill="1" applyBorder="1" applyAlignment="1">
      <alignment horizontal="center" vertical="center"/>
    </xf>
    <xf numFmtId="0" fontId="74" fillId="39" borderId="66" xfId="0" applyFont="1" applyFill="1" applyBorder="1" applyAlignment="1">
      <alignment vertical="center"/>
    </xf>
    <xf numFmtId="0" fontId="74" fillId="39" borderId="67" xfId="0" applyFont="1" applyFill="1" applyBorder="1"/>
    <xf numFmtId="0" fontId="74" fillId="39" borderId="0" xfId="0" applyFont="1" applyFill="1"/>
    <xf numFmtId="0" fontId="74" fillId="39" borderId="0" xfId="0" applyFont="1" applyFill="1" applyAlignment="1">
      <alignment horizontal="center"/>
    </xf>
    <xf numFmtId="0" fontId="74" fillId="39" borderId="68" xfId="0" applyFont="1" applyFill="1" applyBorder="1"/>
    <xf numFmtId="0" fontId="74" fillId="39" borderId="69" xfId="0" applyFont="1" applyFill="1" applyBorder="1"/>
    <xf numFmtId="0" fontId="74" fillId="39" borderId="70" xfId="0" applyFont="1" applyFill="1" applyBorder="1"/>
    <xf numFmtId="0" fontId="74" fillId="39" borderId="70" xfId="0" applyFont="1" applyFill="1" applyBorder="1" applyAlignment="1">
      <alignment horizontal="center"/>
    </xf>
    <xf numFmtId="0" fontId="74" fillId="39" borderId="71" xfId="0" applyFont="1" applyFill="1" applyBorder="1"/>
    <xf numFmtId="49" fontId="0" fillId="0" borderId="48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right" vertical="center"/>
    </xf>
    <xf numFmtId="49" fontId="0" fillId="0" borderId="48" xfId="0" applyNumberFormat="1" applyBorder="1" applyAlignment="1">
      <alignment horizontal="left" vertical="center"/>
    </xf>
    <xf numFmtId="0" fontId="0" fillId="54" borderId="48" xfId="0" applyFill="1" applyBorder="1" applyAlignment="1">
      <alignment horizontal="center" vertical="top"/>
    </xf>
    <xf numFmtId="0" fontId="0" fillId="54" borderId="45" xfId="0" applyFill="1" applyBorder="1"/>
    <xf numFmtId="0" fontId="29" fillId="0" borderId="32" xfId="0" applyFont="1" applyBorder="1" applyAlignment="1">
      <alignment horizontal="center"/>
    </xf>
    <xf numFmtId="0" fontId="0" fillId="36" borderId="13" xfId="0" applyFill="1" applyBorder="1" applyAlignment="1">
      <alignment horizontal="center" vertical="center"/>
    </xf>
    <xf numFmtId="0" fontId="0" fillId="36" borderId="55" xfId="0" applyFill="1" applyBorder="1" applyAlignment="1">
      <alignment horizontal="center" vertical="center"/>
    </xf>
    <xf numFmtId="0" fontId="0" fillId="41" borderId="40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13" xfId="0" applyFill="1" applyBorder="1" applyAlignment="1">
      <alignment horizontal="left" vertical="center" indent="1"/>
    </xf>
    <xf numFmtId="0" fontId="0" fillId="36" borderId="13" xfId="0" applyFill="1" applyBorder="1" applyAlignment="1">
      <alignment horizontal="center" vertical="center" indent="1"/>
    </xf>
    <xf numFmtId="0" fontId="0" fillId="36" borderId="41" xfId="0" applyFill="1" applyBorder="1" applyAlignment="1">
      <alignment horizontal="center" vertical="center"/>
    </xf>
    <xf numFmtId="0" fontId="0" fillId="36" borderId="38" xfId="0" applyFill="1" applyBorder="1" applyAlignment="1">
      <alignment horizontal="center" vertical="center" indent="1"/>
    </xf>
    <xf numFmtId="0" fontId="0" fillId="0" borderId="82" xfId="0" applyBorder="1"/>
    <xf numFmtId="0" fontId="29" fillId="0" borderId="0" xfId="0" applyFont="1" applyAlignment="1">
      <alignment horizontal="center"/>
    </xf>
    <xf numFmtId="0" fontId="0" fillId="0" borderId="83" xfId="0" applyBorder="1"/>
    <xf numFmtId="0" fontId="18" fillId="0" borderId="82" xfId="0" applyFont="1" applyBorder="1"/>
    <xf numFmtId="0" fontId="18" fillId="0" borderId="83" xfId="0" applyFont="1" applyBorder="1"/>
    <xf numFmtId="0" fontId="0" fillId="38" borderId="82" xfId="0" applyFill="1" applyBorder="1"/>
    <xf numFmtId="0" fontId="0" fillId="38" borderId="0" xfId="0" applyFill="1"/>
    <xf numFmtId="0" fontId="29" fillId="38" borderId="0" xfId="0" applyFont="1" applyFill="1" applyAlignment="1">
      <alignment horizontal="center"/>
    </xf>
    <xf numFmtId="0" fontId="0" fillId="38" borderId="11" xfId="0" applyFill="1" applyBorder="1"/>
    <xf numFmtId="0" fontId="0" fillId="38" borderId="84" xfId="0" applyFill="1" applyBorder="1"/>
    <xf numFmtId="0" fontId="29" fillId="38" borderId="84" xfId="0" applyFont="1" applyFill="1" applyBorder="1" applyAlignment="1">
      <alignment horizontal="center"/>
    </xf>
    <xf numFmtId="0" fontId="0" fillId="0" borderId="12" xfId="0" applyBorder="1"/>
    <xf numFmtId="0" fontId="18" fillId="46" borderId="80" xfId="0" applyFont="1" applyFill="1" applyBorder="1" applyAlignment="1">
      <alignment horizontal="center" vertical="center"/>
    </xf>
    <xf numFmtId="0" fontId="18" fillId="46" borderId="81" xfId="0" applyFont="1" applyFill="1" applyBorder="1" applyAlignment="1">
      <alignment horizontal="center" vertical="center"/>
    </xf>
    <xf numFmtId="0" fontId="18" fillId="46" borderId="81" xfId="0" applyFont="1" applyFill="1" applyBorder="1" applyAlignment="1">
      <alignment horizontal="center" vertical="center" wrapText="1"/>
    </xf>
    <xf numFmtId="0" fontId="0" fillId="46" borderId="10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29" fillId="0" borderId="0" xfId="0" applyFont="1"/>
    <xf numFmtId="0" fontId="0" fillId="53" borderId="0" xfId="0" applyFill="1"/>
    <xf numFmtId="0" fontId="15" fillId="53" borderId="0" xfId="0" applyFont="1" applyFill="1" applyAlignment="1">
      <alignment horizontal="center" vertical="center"/>
    </xf>
    <xf numFmtId="0" fontId="15" fillId="53" borderId="0" xfId="0" applyFont="1" applyFill="1" applyAlignment="1">
      <alignment horizontal="right" vertical="center"/>
    </xf>
    <xf numFmtId="0" fontId="64" fillId="50" borderId="49" xfId="0" applyFont="1" applyFill="1" applyBorder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80" fillId="0" borderId="0" xfId="0" applyFont="1" applyAlignment="1">
      <alignment vertical="center"/>
    </xf>
    <xf numFmtId="0" fontId="0" fillId="0" borderId="49" xfId="0" applyBorder="1" applyAlignment="1">
      <alignment vertical="center"/>
    </xf>
    <xf numFmtId="166" fontId="66" fillId="38" borderId="48" xfId="42" applyNumberFormat="1" applyFont="1" applyFill="1" applyBorder="1" applyAlignment="1" applyProtection="1">
      <alignment horizontal="center" vertical="center" wrapText="1"/>
    </xf>
    <xf numFmtId="17" fontId="0" fillId="0" borderId="0" xfId="0" applyNumberFormat="1" applyAlignment="1">
      <alignment horizontal="left" vertical="center"/>
    </xf>
    <xf numFmtId="166" fontId="66" fillId="38" borderId="48" xfId="42" applyNumberFormat="1" applyFont="1" applyFill="1" applyBorder="1" applyAlignment="1" applyProtection="1">
      <alignment vertical="center"/>
    </xf>
    <xf numFmtId="167" fontId="66" fillId="38" borderId="48" xfId="46" applyNumberFormat="1" applyFont="1" applyFill="1" applyBorder="1" applyAlignment="1" applyProtection="1">
      <alignment vertical="center"/>
    </xf>
    <xf numFmtId="0" fontId="0" fillId="37" borderId="88" xfId="0" applyFill="1" applyBorder="1"/>
    <xf numFmtId="0" fontId="0" fillId="37" borderId="89" xfId="0" applyFill="1" applyBorder="1" applyAlignment="1">
      <alignment horizontal="center"/>
    </xf>
    <xf numFmtId="0" fontId="0" fillId="0" borderId="89" xfId="0" applyBorder="1"/>
    <xf numFmtId="0" fontId="0" fillId="0" borderId="90" xfId="0" applyBorder="1"/>
    <xf numFmtId="0" fontId="0" fillId="37" borderId="91" xfId="0" applyFill="1" applyBorder="1"/>
    <xf numFmtId="0" fontId="0" fillId="0" borderId="92" xfId="0" applyBorder="1"/>
    <xf numFmtId="0" fontId="0" fillId="37" borderId="93" xfId="0" applyFill="1" applyBorder="1"/>
    <xf numFmtId="0" fontId="0" fillId="37" borderId="94" xfId="0" applyFill="1" applyBorder="1"/>
    <xf numFmtId="0" fontId="0" fillId="37" borderId="94" xfId="0" applyFill="1" applyBorder="1" applyAlignment="1">
      <alignment horizontal="center"/>
    </xf>
    <xf numFmtId="0" fontId="0" fillId="0" borderId="94" xfId="0" applyBorder="1"/>
    <xf numFmtId="0" fontId="0" fillId="0" borderId="95" xfId="0" applyBorder="1"/>
    <xf numFmtId="0" fontId="78" fillId="0" borderId="0" xfId="0" applyFont="1"/>
    <xf numFmtId="0" fontId="81" fillId="0" borderId="0" xfId="0" applyFont="1"/>
    <xf numFmtId="0" fontId="82" fillId="0" borderId="0" xfId="0" applyFont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02" xfId="0" applyBorder="1"/>
    <xf numFmtId="0" fontId="0" fillId="0" borderId="103" xfId="0" applyBorder="1"/>
    <xf numFmtId="0" fontId="0" fillId="0" borderId="104" xfId="0" applyBorder="1"/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83" fillId="0" borderId="0" xfId="0" applyFont="1" applyAlignment="1">
      <alignment wrapText="1"/>
    </xf>
    <xf numFmtId="0" fontId="84" fillId="0" borderId="0" xfId="0" applyFont="1" applyAlignment="1">
      <alignment horizontal="left" vertical="center"/>
    </xf>
    <xf numFmtId="0" fontId="78" fillId="0" borderId="108" xfId="0" applyFont="1" applyBorder="1"/>
    <xf numFmtId="0" fontId="0" fillId="0" borderId="108" xfId="0" applyBorder="1" applyAlignment="1">
      <alignment horizontal="center"/>
    </xf>
    <xf numFmtId="0" fontId="85" fillId="0" borderId="0" xfId="0" applyFont="1" applyAlignment="1">
      <alignment horizontal="center" vertical="center" wrapText="1"/>
    </xf>
    <xf numFmtId="0" fontId="81" fillId="0" borderId="104" xfId="0" applyFont="1" applyBorder="1"/>
    <xf numFmtId="0" fontId="0" fillId="0" borderId="106" xfId="0" applyBorder="1" applyAlignment="1">
      <alignment horizontal="left" indent="1"/>
    </xf>
    <xf numFmtId="0" fontId="83" fillId="0" borderId="109" xfId="0" applyFont="1" applyBorder="1" applyAlignment="1">
      <alignment wrapText="1"/>
    </xf>
    <xf numFmtId="0" fontId="83" fillId="0" borderId="107" xfId="0" applyFont="1" applyBorder="1" applyAlignment="1">
      <alignment wrapText="1"/>
    </xf>
    <xf numFmtId="0" fontId="83" fillId="0" borderId="108" xfId="0" applyFont="1" applyBorder="1" applyAlignment="1">
      <alignment wrapText="1"/>
    </xf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16" xfId="0" applyBorder="1" applyAlignment="1">
      <alignment horizontal="left" indent="1"/>
    </xf>
    <xf numFmtId="0" fontId="0" fillId="0" borderId="2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1" xfId="0" applyBorder="1"/>
    <xf numFmtId="0" fontId="0" fillId="0" borderId="76" xfId="0" applyBorder="1" applyAlignment="1">
      <alignment vertical="center"/>
    </xf>
    <xf numFmtId="0" fontId="78" fillId="55" borderId="0" xfId="0" applyFont="1" applyFill="1"/>
    <xf numFmtId="0" fontId="81" fillId="55" borderId="0" xfId="0" applyFont="1" applyFill="1"/>
    <xf numFmtId="0" fontId="82" fillId="55" borderId="0" xfId="0" applyFont="1" applyFill="1"/>
    <xf numFmtId="0" fontId="0" fillId="55" borderId="0" xfId="0" applyFill="1"/>
    <xf numFmtId="20" fontId="78" fillId="55" borderId="0" xfId="0" quotePrefix="1" applyNumberFormat="1" applyFont="1" applyFill="1"/>
    <xf numFmtId="0" fontId="0" fillId="55" borderId="102" xfId="0" applyFill="1" applyBorder="1"/>
    <xf numFmtId="0" fontId="0" fillId="55" borderId="104" xfId="0" applyFill="1" applyBorder="1"/>
    <xf numFmtId="20" fontId="78" fillId="0" borderId="0" xfId="0" quotePrefix="1" applyNumberFormat="1" applyFont="1"/>
    <xf numFmtId="0" fontId="8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96" xfId="0" applyBorder="1"/>
    <xf numFmtId="0" fontId="0" fillId="0" borderId="97" xfId="0" applyBorder="1"/>
    <xf numFmtId="0" fontId="0" fillId="0" borderId="98" xfId="0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0" fillId="0" borderId="75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78" xfId="0" applyBorder="1"/>
    <xf numFmtId="0" fontId="0" fillId="0" borderId="79" xfId="0" applyBorder="1"/>
    <xf numFmtId="0" fontId="0" fillId="0" borderId="77" xfId="0" applyBorder="1"/>
    <xf numFmtId="0" fontId="18" fillId="46" borderId="15" xfId="0" applyFont="1" applyFill="1" applyBorder="1" applyAlignment="1">
      <alignment horizontal="center" vertical="center" wrapText="1"/>
    </xf>
    <xf numFmtId="0" fontId="18" fillId="46" borderId="16" xfId="0" applyFont="1" applyFill="1" applyBorder="1" applyAlignment="1">
      <alignment horizontal="center" vertical="center" wrapText="1"/>
    </xf>
    <xf numFmtId="0" fontId="0" fillId="0" borderId="121" xfId="0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78" xfId="0" applyBorder="1" applyAlignment="1">
      <alignment horizontal="left" vertical="center"/>
    </xf>
    <xf numFmtId="0" fontId="0" fillId="0" borderId="79" xfId="0" applyBorder="1" applyAlignment="1">
      <alignment horizontal="left" vertical="center"/>
    </xf>
    <xf numFmtId="0" fontId="0" fillId="0" borderId="124" xfId="0" applyBorder="1" applyAlignment="1">
      <alignment horizontal="left" vertical="center" indent="1"/>
    </xf>
    <xf numFmtId="0" fontId="81" fillId="43" borderId="0" xfId="0" applyFont="1" applyFill="1"/>
    <xf numFmtId="0" fontId="82" fillId="43" borderId="0" xfId="0" applyFont="1" applyFill="1"/>
    <xf numFmtId="20" fontId="78" fillId="55" borderId="0" xfId="0" quotePrefix="1" applyNumberFormat="1" applyFont="1" applyFill="1" applyAlignment="1">
      <alignment horizontal="center"/>
    </xf>
    <xf numFmtId="0" fontId="93" fillId="0" borderId="0" xfId="0" applyFont="1" applyAlignment="1">
      <alignment horizontal="left" vertical="center" readingOrder="1"/>
    </xf>
    <xf numFmtId="0" fontId="0" fillId="0" borderId="116" xfId="0" applyBorder="1" applyAlignment="1">
      <alignment vertical="center"/>
    </xf>
    <xf numFmtId="0" fontId="0" fillId="0" borderId="117" xfId="0" applyBorder="1" applyAlignment="1">
      <alignment vertical="center"/>
    </xf>
    <xf numFmtId="0" fontId="93" fillId="0" borderId="0" xfId="0" applyFont="1" applyAlignment="1">
      <alignment horizontal="justify" vertical="center" readingOrder="1"/>
    </xf>
    <xf numFmtId="0" fontId="18" fillId="46" borderId="96" xfId="0" applyFont="1" applyFill="1" applyBorder="1" applyAlignment="1">
      <alignment horizontal="center" vertical="center"/>
    </xf>
    <xf numFmtId="0" fontId="18" fillId="46" borderId="132" xfId="0" applyFont="1" applyFill="1" applyBorder="1" applyAlignment="1">
      <alignment horizontal="center" vertical="center"/>
    </xf>
    <xf numFmtId="0" fontId="0" fillId="46" borderId="97" xfId="0" applyFill="1" applyBorder="1" applyAlignment="1">
      <alignment vertical="center"/>
    </xf>
    <xf numFmtId="0" fontId="0" fillId="0" borderId="98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29" xfId="0" applyBorder="1" applyAlignment="1">
      <alignment vertical="center"/>
    </xf>
    <xf numFmtId="0" fontId="0" fillId="0" borderId="129" xfId="0" applyBorder="1"/>
    <xf numFmtId="0" fontId="0" fillId="0" borderId="129" xfId="0" applyBorder="1" applyAlignment="1">
      <alignment horizontal="center"/>
    </xf>
    <xf numFmtId="0" fontId="0" fillId="0" borderId="99" xfId="0" applyBorder="1" applyAlignment="1">
      <alignment vertical="center"/>
    </xf>
    <xf numFmtId="0" fontId="0" fillId="0" borderId="134" xfId="0" applyBorder="1" applyAlignment="1">
      <alignment horizontal="left" vertical="center"/>
    </xf>
    <xf numFmtId="0" fontId="0" fillId="0" borderId="105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76" xfId="0" applyBorder="1" applyAlignment="1">
      <alignment horizontal="left" vertical="center" indent="1"/>
    </xf>
    <xf numFmtId="0" fontId="42" fillId="58" borderId="0" xfId="0" applyFont="1" applyFill="1" applyAlignment="1">
      <alignment horizontal="center"/>
    </xf>
    <xf numFmtId="0" fontId="18" fillId="46" borderId="135" xfId="0" applyFont="1" applyFill="1" applyBorder="1" applyAlignment="1">
      <alignment horizontal="center" vertical="center" wrapText="1"/>
    </xf>
    <xf numFmtId="0" fontId="18" fillId="46" borderId="136" xfId="0" applyFont="1" applyFill="1" applyBorder="1" applyAlignment="1">
      <alignment horizontal="center" vertical="center" wrapText="1"/>
    </xf>
    <xf numFmtId="0" fontId="0" fillId="0" borderId="139" xfId="0" applyBorder="1" applyAlignment="1">
      <alignment horizontal="center" vertical="center"/>
    </xf>
    <xf numFmtId="0" fontId="0" fillId="0" borderId="140" xfId="0" applyBorder="1" applyAlignment="1">
      <alignment vertical="center"/>
    </xf>
    <xf numFmtId="0" fontId="0" fillId="0" borderId="141" xfId="0" applyBorder="1" applyAlignment="1">
      <alignment horizontal="center" vertical="center"/>
    </xf>
    <xf numFmtId="0" fontId="0" fillId="0" borderId="142" xfId="0" applyBorder="1" applyAlignment="1">
      <alignment vertical="center"/>
    </xf>
    <xf numFmtId="0" fontId="0" fillId="0" borderId="142" xfId="0" applyBorder="1" applyAlignment="1">
      <alignment horizontal="center" vertical="center"/>
    </xf>
    <xf numFmtId="0" fontId="0" fillId="0" borderId="143" xfId="0" applyBorder="1" applyAlignment="1">
      <alignment horizontal="left" vertical="center" indent="1"/>
    </xf>
    <xf numFmtId="0" fontId="0" fillId="0" borderId="144" xfId="0" applyBorder="1" applyAlignment="1">
      <alignment vertical="center"/>
    </xf>
    <xf numFmtId="0" fontId="41" fillId="37" borderId="0" xfId="0" applyFont="1" applyFill="1" applyAlignment="1">
      <alignment horizontal="center" vertical="center" wrapText="1"/>
    </xf>
    <xf numFmtId="0" fontId="15" fillId="37" borderId="0" xfId="0" applyFont="1" applyFill="1" applyAlignment="1">
      <alignment horizontal="center" vertical="center" wrapText="1"/>
    </xf>
    <xf numFmtId="0" fontId="28" fillId="37" borderId="0" xfId="0" applyFont="1" applyFill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6" fillId="37" borderId="0" xfId="0" applyFont="1" applyFill="1" applyAlignment="1">
      <alignment horizontal="center" vertical="center" wrapText="1"/>
    </xf>
    <xf numFmtId="0" fontId="51" fillId="37" borderId="0" xfId="0" applyFont="1" applyFill="1" applyAlignment="1">
      <alignment horizontal="left" vertical="center"/>
    </xf>
    <xf numFmtId="0" fontId="27" fillId="37" borderId="0" xfId="0" applyFont="1" applyFill="1" applyAlignment="1">
      <alignment horizontal="center" vertical="center"/>
    </xf>
    <xf numFmtId="164" fontId="27" fillId="37" borderId="0" xfId="0" applyNumberFormat="1" applyFont="1" applyFill="1" applyAlignment="1">
      <alignment horizontal="center" vertical="center"/>
    </xf>
    <xf numFmtId="0" fontId="29" fillId="37" borderId="0" xfId="0" applyFont="1" applyFill="1" applyAlignment="1">
      <alignment horizontal="center" vertical="center"/>
    </xf>
    <xf numFmtId="164" fontId="30" fillId="37" borderId="0" xfId="0" applyNumberFormat="1" applyFont="1" applyFill="1" applyAlignment="1">
      <alignment horizontal="center" vertical="center"/>
    </xf>
    <xf numFmtId="0" fontId="0" fillId="37" borderId="0" xfId="0" applyFill="1" applyAlignment="1">
      <alignment vertical="center"/>
    </xf>
    <xf numFmtId="0" fontId="32" fillId="37" borderId="0" xfId="0" applyFont="1" applyFill="1" applyAlignment="1">
      <alignment horizontal="left" vertical="center"/>
    </xf>
    <xf numFmtId="0" fontId="32" fillId="37" borderId="0" xfId="0" applyFont="1" applyFill="1" applyAlignment="1">
      <alignment horizontal="right" vertical="center"/>
    </xf>
    <xf numFmtId="0" fontId="27" fillId="37" borderId="0" xfId="0" applyFont="1" applyFill="1" applyAlignment="1">
      <alignment horizontal="left" vertical="center" indent="1"/>
    </xf>
    <xf numFmtId="0" fontId="18" fillId="37" borderId="0" xfId="0" applyFont="1" applyFill="1" applyAlignment="1">
      <alignment vertical="center" wrapText="1"/>
    </xf>
    <xf numFmtId="0" fontId="37" fillId="37" borderId="0" xfId="0" applyFont="1" applyFill="1" applyAlignment="1">
      <alignment horizontal="center" vertical="center"/>
    </xf>
    <xf numFmtId="0" fontId="37" fillId="37" borderId="0" xfId="0" applyFont="1" applyFill="1" applyAlignment="1">
      <alignment horizontal="left" vertical="center"/>
    </xf>
    <xf numFmtId="0" fontId="39" fillId="0" borderId="0" xfId="0" applyFont="1" applyAlignment="1">
      <alignment vertical="center"/>
    </xf>
    <xf numFmtId="0" fontId="97" fillId="0" borderId="0" xfId="0" applyFont="1"/>
    <xf numFmtId="0" fontId="0" fillId="0" borderId="0" xfId="0" applyAlignment="1">
      <alignment horizontal="left"/>
    </xf>
    <xf numFmtId="0" fontId="0" fillId="37" borderId="113" xfId="0" applyFill="1" applyBorder="1"/>
    <xf numFmtId="0" fontId="0" fillId="37" borderId="114" xfId="0" applyFill="1" applyBorder="1"/>
    <xf numFmtId="0" fontId="0" fillId="37" borderId="115" xfId="0" applyFill="1" applyBorder="1"/>
    <xf numFmtId="0" fontId="0" fillId="37" borderId="116" xfId="0" applyFill="1" applyBorder="1"/>
    <xf numFmtId="0" fontId="0" fillId="37" borderId="117" xfId="0" applyFill="1" applyBorder="1"/>
    <xf numFmtId="0" fontId="0" fillId="37" borderId="118" xfId="0" applyFill="1" applyBorder="1"/>
    <xf numFmtId="0" fontId="0" fillId="37" borderId="119" xfId="0" applyFill="1" applyBorder="1"/>
    <xf numFmtId="0" fontId="0" fillId="37" borderId="120" xfId="0" applyFill="1" applyBorder="1"/>
    <xf numFmtId="0" fontId="0" fillId="37" borderId="0" xfId="0" applyFill="1" applyAlignment="1">
      <alignment vertical="top" wrapText="1"/>
    </xf>
    <xf numFmtId="0" fontId="18" fillId="37" borderId="0" xfId="0" applyFont="1" applyFill="1" applyAlignment="1">
      <alignment horizontal="center" vertical="center" wrapText="1"/>
    </xf>
    <xf numFmtId="0" fontId="0" fillId="37" borderId="0" xfId="0" applyFill="1" applyAlignment="1">
      <alignment vertical="center" wrapText="1"/>
    </xf>
    <xf numFmtId="0" fontId="0" fillId="37" borderId="0" xfId="0" applyFill="1" applyAlignment="1">
      <alignment horizontal="center" vertical="center"/>
    </xf>
    <xf numFmtId="0" fontId="43" fillId="37" borderId="0" xfId="0" applyFont="1" applyFill="1" applyAlignment="1">
      <alignment horizontal="left" vertical="center"/>
    </xf>
    <xf numFmtId="0" fontId="0" fillId="37" borderId="0" xfId="0" applyFill="1" applyAlignment="1">
      <alignment horizontal="left" vertical="top"/>
    </xf>
    <xf numFmtId="0" fontId="78" fillId="53" borderId="0" xfId="0" applyFont="1" applyFill="1" applyAlignment="1">
      <alignment vertical="center"/>
    </xf>
    <xf numFmtId="0" fontId="78" fillId="53" borderId="0" xfId="0" applyFont="1" applyFill="1"/>
    <xf numFmtId="0" fontId="19" fillId="53" borderId="0" xfId="0" applyFont="1" applyFill="1"/>
    <xf numFmtId="0" fontId="78" fillId="53" borderId="0" xfId="0" applyFont="1" applyFill="1" applyAlignment="1">
      <alignment horizontal="left" vertical="center"/>
    </xf>
    <xf numFmtId="0" fontId="0" fillId="37" borderId="0" xfId="0" applyFill="1" applyAlignment="1">
      <alignment horizontal="center" vertical="top"/>
    </xf>
    <xf numFmtId="0" fontId="0" fillId="37" borderId="0" xfId="0" applyFill="1" applyAlignment="1">
      <alignment horizontal="left" vertical="top" wrapText="1"/>
    </xf>
    <xf numFmtId="0" fontId="0" fillId="37" borderId="0" xfId="0" applyFill="1" applyAlignment="1">
      <alignment horizontal="left" vertical="center" indent="1"/>
    </xf>
    <xf numFmtId="0" fontId="0" fillId="37" borderId="0" xfId="0" applyFill="1" applyAlignment="1">
      <alignment horizontal="center" vertical="center" wrapText="1"/>
    </xf>
    <xf numFmtId="0" fontId="0" fillId="37" borderId="0" xfId="0" applyFill="1" applyAlignment="1">
      <alignment horizontal="left" vertical="center"/>
    </xf>
    <xf numFmtId="0" fontId="0" fillId="37" borderId="119" xfId="0" applyFill="1" applyBorder="1" applyAlignment="1">
      <alignment horizontal="center" vertical="center"/>
    </xf>
    <xf numFmtId="0" fontId="0" fillId="37" borderId="119" xfId="0" applyFill="1" applyBorder="1" applyAlignment="1">
      <alignment vertical="center"/>
    </xf>
    <xf numFmtId="0" fontId="0" fillId="37" borderId="119" xfId="0" applyFill="1" applyBorder="1" applyAlignment="1">
      <alignment horizontal="center"/>
    </xf>
    <xf numFmtId="0" fontId="0" fillId="37" borderId="145" xfId="0" applyFill="1" applyBorder="1"/>
    <xf numFmtId="0" fontId="0" fillId="37" borderId="146" xfId="0" applyFill="1" applyBorder="1"/>
    <xf numFmtId="0" fontId="0" fillId="37" borderId="147" xfId="0" applyFill="1" applyBorder="1"/>
    <xf numFmtId="0" fontId="0" fillId="37" borderId="148" xfId="0" applyFill="1" applyBorder="1"/>
    <xf numFmtId="0" fontId="0" fillId="37" borderId="149" xfId="0" applyFill="1" applyBorder="1"/>
    <xf numFmtId="0" fontId="0" fillId="37" borderId="150" xfId="0" applyFill="1" applyBorder="1"/>
    <xf numFmtId="0" fontId="0" fillId="37" borderId="151" xfId="0" applyFill="1" applyBorder="1"/>
    <xf numFmtId="0" fontId="0" fillId="37" borderId="151" xfId="0" applyFill="1" applyBorder="1" applyAlignment="1">
      <alignment horizontal="left" vertical="center"/>
    </xf>
    <xf numFmtId="0" fontId="0" fillId="37" borderId="152" xfId="0" applyFill="1" applyBorder="1"/>
    <xf numFmtId="0" fontId="0" fillId="37" borderId="90" xfId="0" applyFill="1" applyBorder="1"/>
    <xf numFmtId="0" fontId="0" fillId="37" borderId="92" xfId="0" applyFill="1" applyBorder="1"/>
    <xf numFmtId="0" fontId="0" fillId="37" borderId="95" xfId="0" applyFill="1" applyBorder="1"/>
    <xf numFmtId="0" fontId="18" fillId="59" borderId="145" xfId="0" applyFont="1" applyFill="1" applyBorder="1" applyAlignment="1">
      <alignment horizontal="center" vertical="center" wrapText="1"/>
    </xf>
    <xf numFmtId="0" fontId="18" fillId="59" borderId="146" xfId="0" applyFont="1" applyFill="1" applyBorder="1" applyAlignment="1">
      <alignment horizontal="center" vertical="center" wrapText="1"/>
    </xf>
    <xf numFmtId="0" fontId="0" fillId="37" borderId="148" xfId="0" applyFill="1" applyBorder="1" applyAlignment="1">
      <alignment horizontal="center" vertical="center"/>
    </xf>
    <xf numFmtId="0" fontId="0" fillId="37" borderId="150" xfId="0" applyFill="1" applyBorder="1" applyAlignment="1">
      <alignment horizontal="center" vertical="center"/>
    </xf>
    <xf numFmtId="0" fontId="0" fillId="37" borderId="151" xfId="0" applyFill="1" applyBorder="1" applyAlignment="1">
      <alignment vertical="center"/>
    </xf>
    <xf numFmtId="0" fontId="0" fillId="37" borderId="151" xfId="0" applyFill="1" applyBorder="1" applyAlignment="1">
      <alignment horizontal="center" vertical="center"/>
    </xf>
    <xf numFmtId="0" fontId="0" fillId="37" borderId="155" xfId="0" applyFill="1" applyBorder="1" applyAlignment="1">
      <alignment horizontal="left" vertical="center" indent="1"/>
    </xf>
    <xf numFmtId="0" fontId="0" fillId="37" borderId="156" xfId="0" applyFill="1" applyBorder="1" applyAlignment="1">
      <alignment vertical="center"/>
    </xf>
    <xf numFmtId="0" fontId="0" fillId="37" borderId="157" xfId="0" applyFill="1" applyBorder="1" applyAlignment="1">
      <alignment horizontal="left" vertical="center" indent="1"/>
    </xf>
    <xf numFmtId="0" fontId="0" fillId="37" borderId="158" xfId="0" applyFill="1" applyBorder="1" applyAlignment="1">
      <alignment vertical="center"/>
    </xf>
    <xf numFmtId="0" fontId="0" fillId="37" borderId="148" xfId="0" applyFill="1" applyBorder="1" applyAlignment="1">
      <alignment horizontal="center" vertical="top"/>
    </xf>
    <xf numFmtId="0" fontId="0" fillId="37" borderId="155" xfId="0" applyFill="1" applyBorder="1" applyAlignment="1">
      <alignment horizontal="left" vertical="top" wrapText="1"/>
    </xf>
    <xf numFmtId="0" fontId="0" fillId="37" borderId="156" xfId="0" applyFill="1" applyBorder="1" applyAlignment="1">
      <alignment horizontal="left" vertical="top" wrapText="1"/>
    </xf>
    <xf numFmtId="0" fontId="0" fillId="37" borderId="156" xfId="0" applyFill="1" applyBorder="1" applyAlignment="1">
      <alignment horizontal="left" vertical="center" indent="1"/>
    </xf>
    <xf numFmtId="0" fontId="0" fillId="37" borderId="160" xfId="0" applyFill="1" applyBorder="1" applyAlignment="1">
      <alignment horizontal="left" vertical="center" indent="1"/>
    </xf>
    <xf numFmtId="0" fontId="0" fillId="37" borderId="158" xfId="0" applyFill="1" applyBorder="1" applyAlignment="1">
      <alignment horizontal="left" vertical="center" indent="1"/>
    </xf>
    <xf numFmtId="0" fontId="18" fillId="37" borderId="0" xfId="0" applyFont="1" applyFill="1" applyAlignment="1">
      <alignment horizontal="center" vertical="center"/>
    </xf>
    <xf numFmtId="0" fontId="93" fillId="37" borderId="0" xfId="0" applyFont="1" applyFill="1" applyAlignment="1">
      <alignment horizontal="left" vertical="center" readingOrder="1"/>
    </xf>
    <xf numFmtId="0" fontId="93" fillId="37" borderId="0" xfId="0" applyFont="1" applyFill="1" applyAlignment="1">
      <alignment horizontal="justify" vertical="center" readingOrder="1"/>
    </xf>
    <xf numFmtId="0" fontId="81" fillId="43" borderId="23" xfId="0" applyFont="1" applyFill="1" applyBorder="1"/>
    <xf numFmtId="0" fontId="82" fillId="43" borderId="25" xfId="0" applyFont="1" applyFill="1" applyBorder="1"/>
    <xf numFmtId="0" fontId="0" fillId="37" borderId="0" xfId="0" applyFill="1" applyAlignment="1">
      <alignment vertical="top"/>
    </xf>
    <xf numFmtId="0" fontId="18" fillId="46" borderId="145" xfId="0" applyFont="1" applyFill="1" applyBorder="1" applyAlignment="1">
      <alignment horizontal="center" vertical="center"/>
    </xf>
    <xf numFmtId="0" fontId="18" fillId="46" borderId="146" xfId="0" applyFont="1" applyFill="1" applyBorder="1" applyAlignment="1">
      <alignment horizontal="center" vertical="center"/>
    </xf>
    <xf numFmtId="0" fontId="0" fillId="37" borderId="149" xfId="0" applyFill="1" applyBorder="1" applyAlignment="1">
      <alignment vertical="center"/>
    </xf>
    <xf numFmtId="0" fontId="0" fillId="37" borderId="155" xfId="0" applyFill="1" applyBorder="1" applyAlignment="1">
      <alignment vertical="center"/>
    </xf>
    <xf numFmtId="0" fontId="0" fillId="37" borderId="156" xfId="0" applyFill="1" applyBorder="1"/>
    <xf numFmtId="0" fontId="0" fillId="37" borderId="155" xfId="0" applyFill="1" applyBorder="1"/>
    <xf numFmtId="0" fontId="0" fillId="37" borderId="157" xfId="0" applyFill="1" applyBorder="1"/>
    <xf numFmtId="0" fontId="0" fillId="37" borderId="160" xfId="0" applyFill="1" applyBorder="1"/>
    <xf numFmtId="0" fontId="0" fillId="37" borderId="158" xfId="0" applyFill="1" applyBorder="1"/>
    <xf numFmtId="20" fontId="78" fillId="53" borderId="0" xfId="0" quotePrefix="1" applyNumberFormat="1" applyFont="1" applyFill="1" applyAlignment="1">
      <alignment horizontal="left"/>
    </xf>
    <xf numFmtId="20" fontId="78" fillId="53" borderId="0" xfId="0" quotePrefix="1" applyNumberFormat="1" applyFont="1" applyFill="1" applyAlignment="1">
      <alignment horizontal="left" vertical="center"/>
    </xf>
    <xf numFmtId="0" fontId="19" fillId="53" borderId="0" xfId="0" applyFont="1" applyFill="1" applyAlignment="1">
      <alignment vertical="center"/>
    </xf>
    <xf numFmtId="0" fontId="0" fillId="37" borderId="148" xfId="0" applyFill="1" applyBorder="1" applyAlignment="1">
      <alignment vertical="center"/>
    </xf>
    <xf numFmtId="0" fontId="0" fillId="37" borderId="64" xfId="0" applyFill="1" applyBorder="1"/>
    <xf numFmtId="0" fontId="15" fillId="37" borderId="65" xfId="0" applyFont="1" applyFill="1" applyBorder="1" applyAlignment="1">
      <alignment horizontal="center" vertical="center"/>
    </xf>
    <xf numFmtId="0" fontId="0" fillId="37" borderId="65" xfId="0" applyFill="1" applyBorder="1"/>
    <xf numFmtId="0" fontId="0" fillId="37" borderId="66" xfId="0" applyFill="1" applyBorder="1"/>
    <xf numFmtId="0" fontId="0" fillId="37" borderId="67" xfId="0" applyFill="1" applyBorder="1"/>
    <xf numFmtId="0" fontId="0" fillId="37" borderId="68" xfId="0" applyFill="1" applyBorder="1"/>
    <xf numFmtId="0" fontId="0" fillId="37" borderId="68" xfId="0" applyFill="1" applyBorder="1" applyAlignment="1">
      <alignment vertical="center"/>
    </xf>
    <xf numFmtId="0" fontId="0" fillId="37" borderId="67" xfId="0" applyFill="1" applyBorder="1" applyAlignment="1">
      <alignment vertical="center"/>
    </xf>
    <xf numFmtId="0" fontId="0" fillId="37" borderId="69" xfId="0" applyFill="1" applyBorder="1"/>
    <xf numFmtId="0" fontId="0" fillId="37" borderId="70" xfId="0" applyFill="1" applyBorder="1"/>
    <xf numFmtId="0" fontId="0" fillId="37" borderId="71" xfId="0" applyFill="1" applyBorder="1"/>
    <xf numFmtId="0" fontId="0" fillId="58" borderId="0" xfId="0" applyFill="1"/>
    <xf numFmtId="0" fontId="0" fillId="37" borderId="0" xfId="0" applyFill="1" applyAlignment="1">
      <alignment horizontal="left"/>
    </xf>
    <xf numFmtId="20" fontId="78" fillId="37" borderId="146" xfId="0" quotePrefix="1" applyNumberFormat="1" applyFont="1" applyFill="1" applyBorder="1"/>
    <xf numFmtId="0" fontId="78" fillId="37" borderId="146" xfId="0" applyFont="1" applyFill="1" applyBorder="1"/>
    <xf numFmtId="0" fontId="81" fillId="37" borderId="146" xfId="0" applyFont="1" applyFill="1" applyBorder="1"/>
    <xf numFmtId="0" fontId="82" fillId="37" borderId="146" xfId="0" applyFont="1" applyFill="1" applyBorder="1"/>
    <xf numFmtId="0" fontId="86" fillId="37" borderId="0" xfId="0" applyFont="1" applyFill="1" applyAlignment="1">
      <alignment wrapText="1"/>
    </xf>
    <xf numFmtId="0" fontId="0" fillId="37" borderId="0" xfId="0" applyFill="1" applyAlignment="1">
      <alignment horizontal="left" indent="1"/>
    </xf>
    <xf numFmtId="0" fontId="0" fillId="37" borderId="0" xfId="0" applyFill="1" applyAlignment="1">
      <alignment wrapText="1"/>
    </xf>
    <xf numFmtId="0" fontId="42" fillId="37" borderId="0" xfId="0" applyFont="1" applyFill="1" applyAlignment="1">
      <alignment horizontal="center"/>
    </xf>
    <xf numFmtId="0" fontId="78" fillId="37" borderId="0" xfId="0" applyFont="1" applyFill="1"/>
    <xf numFmtId="20" fontId="78" fillId="53" borderId="0" xfId="0" quotePrefix="1" applyNumberFormat="1" applyFont="1" applyFill="1"/>
    <xf numFmtId="0" fontId="81" fillId="53" borderId="0" xfId="0" applyFont="1" applyFill="1"/>
    <xf numFmtId="0" fontId="82" fillId="53" borderId="0" xfId="0" applyFont="1" applyFill="1"/>
    <xf numFmtId="0" fontId="64" fillId="0" borderId="0" xfId="0" applyFont="1" applyAlignment="1">
      <alignment horizontal="center" vertical="center" wrapText="1"/>
    </xf>
    <xf numFmtId="15" fontId="66" fillId="0" borderId="0" xfId="0" applyNumberFormat="1" applyFont="1" applyAlignment="1">
      <alignment vertical="center"/>
    </xf>
    <xf numFmtId="166" fontId="66" fillId="0" borderId="0" xfId="42" applyNumberFormat="1" applyFont="1" applyFill="1" applyBorder="1" applyAlignment="1">
      <alignment vertical="center"/>
    </xf>
    <xf numFmtId="166" fontId="64" fillId="0" borderId="0" xfId="0" applyNumberFormat="1" applyFont="1" applyAlignment="1">
      <alignment horizontal="center" vertical="center"/>
    </xf>
    <xf numFmtId="0" fontId="102" fillId="0" borderId="0" xfId="0" applyFont="1"/>
    <xf numFmtId="0" fontId="103" fillId="0" borderId="0" xfId="0" applyFont="1"/>
    <xf numFmtId="0" fontId="104" fillId="60" borderId="95" xfId="0" applyFont="1" applyFill="1" applyBorder="1"/>
    <xf numFmtId="0" fontId="102" fillId="0" borderId="95" xfId="0" applyFont="1" applyBorder="1" applyAlignment="1">
      <alignment wrapText="1"/>
    </xf>
    <xf numFmtId="0" fontId="102" fillId="61" borderId="95" xfId="0" applyFont="1" applyFill="1" applyBorder="1"/>
    <xf numFmtId="0" fontId="105" fillId="61" borderId="95" xfId="0" applyFont="1" applyFill="1" applyBorder="1"/>
    <xf numFmtId="0" fontId="64" fillId="37" borderId="0" xfId="0" applyFont="1" applyFill="1" applyAlignment="1">
      <alignment horizontal="center" vertical="center" wrapText="1"/>
    </xf>
    <xf numFmtId="166" fontId="67" fillId="37" borderId="0" xfId="42" applyNumberFormat="1" applyFont="1" applyFill="1" applyBorder="1" applyAlignment="1">
      <alignment vertical="center"/>
    </xf>
    <xf numFmtId="15" fontId="66" fillId="37" borderId="0" xfId="0" applyNumberFormat="1" applyFont="1" applyFill="1" applyAlignment="1">
      <alignment vertical="center"/>
    </xf>
    <xf numFmtId="166" fontId="66" fillId="37" borderId="0" xfId="42" applyNumberFormat="1" applyFont="1" applyFill="1" applyBorder="1" applyAlignment="1">
      <alignment vertical="center"/>
    </xf>
    <xf numFmtId="166" fontId="64" fillId="37" borderId="0" xfId="0" applyNumberFormat="1" applyFont="1" applyFill="1" applyAlignment="1">
      <alignment horizontal="center" vertical="center"/>
    </xf>
    <xf numFmtId="0" fontId="104" fillId="60" borderId="94" xfId="0" applyFont="1" applyFill="1" applyBorder="1"/>
    <xf numFmtId="0" fontId="104" fillId="60" borderId="13" xfId="0" applyFont="1" applyFill="1" applyBorder="1"/>
    <xf numFmtId="0" fontId="102" fillId="61" borderId="13" xfId="0" applyFont="1" applyFill="1" applyBorder="1"/>
    <xf numFmtId="14" fontId="102" fillId="62" borderId="13" xfId="0" applyNumberFormat="1" applyFont="1" applyFill="1" applyBorder="1"/>
    <xf numFmtId="0" fontId="105" fillId="61" borderId="13" xfId="0" applyFont="1" applyFill="1" applyBorder="1"/>
    <xf numFmtId="0" fontId="106" fillId="60" borderId="13" xfId="0" applyFont="1" applyFill="1" applyBorder="1"/>
    <xf numFmtId="14" fontId="102" fillId="61" borderId="94" xfId="0" applyNumberFormat="1" applyFont="1" applyFill="1" applyBorder="1"/>
    <xf numFmtId="14" fontId="102" fillId="61" borderId="94" xfId="0" applyNumberFormat="1" applyFont="1" applyFill="1" applyBorder="1" applyAlignment="1">
      <alignment horizontal="right"/>
    </xf>
    <xf numFmtId="167" fontId="66" fillId="37" borderId="0" xfId="45" applyNumberFormat="1" applyFont="1" applyFill="1" applyBorder="1" applyAlignment="1">
      <alignment vertical="center"/>
    </xf>
    <xf numFmtId="15" fontId="66" fillId="37" borderId="0" xfId="0" applyNumberFormat="1" applyFont="1" applyFill="1" applyAlignment="1">
      <alignment horizontal="right" vertical="center"/>
    </xf>
    <xf numFmtId="166" fontId="66" fillId="37" borderId="0" xfId="42" applyNumberFormat="1" applyFont="1" applyFill="1" applyBorder="1" applyAlignment="1">
      <alignment horizontal="center" vertical="center"/>
    </xf>
    <xf numFmtId="0" fontId="64" fillId="37" borderId="0" xfId="0" applyFont="1" applyFill="1" applyAlignment="1">
      <alignment horizontal="center" vertical="center"/>
    </xf>
    <xf numFmtId="0" fontId="102" fillId="0" borderId="13" xfId="0" applyFont="1" applyBorder="1"/>
    <xf numFmtId="0" fontId="102" fillId="0" borderId="13" xfId="0" applyFont="1" applyBorder="1" applyAlignment="1">
      <alignment wrapText="1"/>
    </xf>
    <xf numFmtId="0" fontId="102" fillId="0" borderId="92" xfId="0" applyFont="1" applyBorder="1" applyAlignment="1">
      <alignment wrapText="1"/>
    </xf>
    <xf numFmtId="0" fontId="102" fillId="61" borderId="92" xfId="0" applyFont="1" applyFill="1" applyBorder="1"/>
    <xf numFmtId="0" fontId="105" fillId="61" borderId="92" xfId="0" applyFont="1" applyFill="1" applyBorder="1"/>
    <xf numFmtId="14" fontId="102" fillId="61" borderId="0" xfId="0" applyNumberFormat="1" applyFont="1" applyFill="1"/>
    <xf numFmtId="0" fontId="102" fillId="61" borderId="37" xfId="0" applyFont="1" applyFill="1" applyBorder="1"/>
    <xf numFmtId="14" fontId="102" fillId="62" borderId="37" xfId="0" applyNumberFormat="1" applyFont="1" applyFill="1" applyBorder="1"/>
    <xf numFmtId="0" fontId="64" fillId="50" borderId="25" xfId="0" applyFont="1" applyFill="1" applyBorder="1" applyAlignment="1">
      <alignment wrapText="1"/>
    </xf>
    <xf numFmtId="0" fontId="65" fillId="0" borderId="92" xfId="0" applyFont="1" applyBorder="1" applyAlignment="1">
      <alignment wrapText="1"/>
    </xf>
    <xf numFmtId="0" fontId="65" fillId="0" borderId="95" xfId="0" applyFont="1" applyBorder="1" applyAlignment="1">
      <alignment wrapText="1"/>
    </xf>
    <xf numFmtId="0" fontId="65" fillId="0" borderId="90" xfId="0" applyFont="1" applyBorder="1" applyAlignment="1">
      <alignment wrapText="1"/>
    </xf>
    <xf numFmtId="0" fontId="65" fillId="0" borderId="25" xfId="0" applyFont="1" applyBorder="1" applyAlignment="1">
      <alignment wrapText="1"/>
    </xf>
    <xf numFmtId="0" fontId="64" fillId="51" borderId="95" xfId="0" applyFont="1" applyFill="1" applyBorder="1" applyAlignment="1">
      <alignment wrapText="1"/>
    </xf>
    <xf numFmtId="0" fontId="64" fillId="50" borderId="48" xfId="0" applyFont="1" applyFill="1" applyBorder="1" applyAlignment="1">
      <alignment horizontal="center"/>
    </xf>
    <xf numFmtId="0" fontId="65" fillId="0" borderId="50" xfId="0" applyFont="1" applyBorder="1" applyAlignment="1">
      <alignment horizontal="center"/>
    </xf>
    <xf numFmtId="0" fontId="64" fillId="51" borderId="50" xfId="0" applyFont="1" applyFill="1" applyBorder="1" applyAlignment="1">
      <alignment horizontal="center"/>
    </xf>
    <xf numFmtId="2" fontId="65" fillId="0" borderId="95" xfId="0" applyNumberFormat="1" applyFont="1" applyBorder="1" applyAlignment="1">
      <alignment wrapText="1"/>
    </xf>
    <xf numFmtId="2" fontId="107" fillId="0" borderId="95" xfId="0" applyNumberFormat="1" applyFont="1" applyBorder="1" applyAlignment="1">
      <alignment wrapText="1"/>
    </xf>
    <xf numFmtId="2" fontId="64" fillId="51" borderId="95" xfId="0" applyNumberFormat="1" applyFont="1" applyFill="1" applyBorder="1" applyAlignment="1">
      <alignment wrapText="1"/>
    </xf>
    <xf numFmtId="2" fontId="0" fillId="0" borderId="0" xfId="0" applyNumberFormat="1"/>
    <xf numFmtId="0" fontId="68" fillId="40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 vertical="top"/>
    </xf>
    <xf numFmtId="0" fontId="68" fillId="34" borderId="0" xfId="0" applyFont="1" applyFill="1" applyAlignment="1">
      <alignment horizontal="center" vertical="center" wrapText="1"/>
    </xf>
    <xf numFmtId="0" fontId="42" fillId="52" borderId="0" xfId="0" applyFont="1" applyFill="1" applyAlignment="1">
      <alignment horizontal="center" vertical="center" wrapText="1"/>
    </xf>
    <xf numFmtId="0" fontId="42" fillId="53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 vertical="top"/>
    </xf>
    <xf numFmtId="0" fontId="0" fillId="41" borderId="43" xfId="0" applyFill="1" applyBorder="1" applyAlignment="1">
      <alignment horizontal="left" vertical="center" indent="1"/>
    </xf>
    <xf numFmtId="0" fontId="0" fillId="41" borderId="44" xfId="0" applyFill="1" applyBorder="1" applyAlignment="1">
      <alignment horizontal="left" vertical="center" indent="1"/>
    </xf>
    <xf numFmtId="0" fontId="0" fillId="40" borderId="55" xfId="0" applyFill="1" applyBorder="1" applyAlignment="1">
      <alignment horizontal="center" vertical="center"/>
    </xf>
    <xf numFmtId="0" fontId="0" fillId="41" borderId="55" xfId="0" applyFill="1" applyBorder="1" applyAlignment="1">
      <alignment horizontal="center" vertical="center"/>
    </xf>
    <xf numFmtId="0" fontId="102" fillId="0" borderId="55" xfId="0" applyFont="1" applyBorder="1"/>
    <xf numFmtId="0" fontId="102" fillId="0" borderId="50" xfId="0" applyFont="1" applyBorder="1"/>
    <xf numFmtId="0" fontId="102" fillId="0" borderId="55" xfId="0" applyFont="1" applyBorder="1" applyAlignment="1">
      <alignment wrapText="1"/>
    </xf>
    <xf numFmtId="0" fontId="102" fillId="0" borderId="50" xfId="0" applyFont="1" applyBorder="1" applyAlignment="1">
      <alignment wrapText="1"/>
    </xf>
    <xf numFmtId="0" fontId="106" fillId="60" borderId="13" xfId="0" applyFont="1" applyFill="1" applyBorder="1"/>
    <xf numFmtId="0" fontId="102" fillId="0" borderId="49" xfId="0" applyFont="1" applyBorder="1" applyAlignment="1">
      <alignment wrapText="1"/>
    </xf>
    <xf numFmtId="0" fontId="102" fillId="0" borderId="49" xfId="0" applyFont="1" applyBorder="1"/>
    <xf numFmtId="0" fontId="104" fillId="60" borderId="49" xfId="0" applyFont="1" applyFill="1" applyBorder="1"/>
    <xf numFmtId="0" fontId="104" fillId="60" borderId="161" xfId="0" applyFont="1" applyFill="1" applyBorder="1"/>
    <xf numFmtId="0" fontId="104" fillId="60" borderId="24" xfId="0" applyFont="1" applyFill="1" applyBorder="1"/>
    <xf numFmtId="0" fontId="104" fillId="60" borderId="162" xfId="0" applyFont="1" applyFill="1" applyBorder="1"/>
    <xf numFmtId="0" fontId="104" fillId="60" borderId="13" xfId="0" applyFont="1" applyFill="1" applyBorder="1"/>
    <xf numFmtId="0" fontId="64" fillId="37" borderId="0" xfId="0" applyFont="1" applyFill="1" applyAlignment="1">
      <alignment horizontal="center" vertical="center" wrapText="1"/>
    </xf>
    <xf numFmtId="0" fontId="47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2" fillId="37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top"/>
    </xf>
    <xf numFmtId="43" fontId="32" fillId="37" borderId="0" xfId="42" applyFont="1" applyFill="1" applyBorder="1" applyAlignment="1">
      <alignment horizontal="center" vertical="center"/>
    </xf>
    <xf numFmtId="0" fontId="47" fillId="37" borderId="0" xfId="0" applyFont="1" applyFill="1" applyAlignment="1">
      <alignment horizontal="left" vertical="top" wrapText="1"/>
    </xf>
    <xf numFmtId="0" fontId="64" fillId="50" borderId="49" xfId="0" applyFont="1" applyFill="1" applyBorder="1" applyAlignment="1">
      <alignment horizontal="center" vertical="center" wrapText="1"/>
    </xf>
    <xf numFmtId="0" fontId="64" fillId="50" borderId="50" xfId="0" applyFont="1" applyFill="1" applyBorder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23" xfId="0" applyFont="1" applyFill="1" applyBorder="1" applyAlignment="1">
      <alignment horizontal="center" vertical="center" wrapText="1"/>
    </xf>
    <xf numFmtId="0" fontId="64" fillId="50" borderId="25" xfId="0" applyFont="1" applyFill="1" applyBorder="1" applyAlignment="1">
      <alignment horizontal="center" vertical="center" wrapText="1"/>
    </xf>
    <xf numFmtId="0" fontId="42" fillId="35" borderId="0" xfId="0" applyFont="1" applyFill="1" applyAlignment="1">
      <alignment horizontal="center" vertical="center"/>
    </xf>
    <xf numFmtId="0" fontId="44" fillId="42" borderId="0" xfId="0" applyFont="1" applyFill="1" applyAlignment="1">
      <alignment horizontal="center" vertical="center"/>
    </xf>
    <xf numFmtId="43" fontId="32" fillId="44" borderId="27" xfId="42" applyFont="1" applyFill="1" applyBorder="1" applyAlignment="1">
      <alignment horizontal="center" vertical="center"/>
    </xf>
    <xf numFmtId="43" fontId="32" fillId="44" borderId="28" xfId="42" applyFont="1" applyFill="1" applyBorder="1" applyAlignment="1">
      <alignment horizontal="center" vertical="center"/>
    </xf>
    <xf numFmtId="0" fontId="44" fillId="43" borderId="0" xfId="0" applyFont="1" applyFill="1" applyAlignment="1">
      <alignment horizontal="center" vertical="center"/>
    </xf>
    <xf numFmtId="0" fontId="32" fillId="44" borderId="27" xfId="0" applyFont="1" applyFill="1" applyBorder="1" applyAlignment="1">
      <alignment horizontal="center" vertical="center" wrapText="1"/>
    </xf>
    <xf numFmtId="0" fontId="32" fillId="44" borderId="28" xfId="0" applyFont="1" applyFill="1" applyBorder="1" applyAlignment="1">
      <alignment horizontal="center" vertical="center" wrapText="1"/>
    </xf>
    <xf numFmtId="0" fontId="52" fillId="35" borderId="23" xfId="0" applyFont="1" applyFill="1" applyBorder="1" applyAlignment="1">
      <alignment horizontal="center" vertical="center"/>
    </xf>
    <xf numFmtId="0" fontId="52" fillId="35" borderId="25" xfId="0" applyFont="1" applyFill="1" applyBorder="1" applyAlignment="1">
      <alignment horizontal="center" vertical="center"/>
    </xf>
    <xf numFmtId="43" fontId="50" fillId="44" borderId="27" xfId="42" applyFont="1" applyFill="1" applyBorder="1" applyAlignment="1">
      <alignment horizontal="center" vertical="center"/>
    </xf>
    <xf numFmtId="43" fontId="50" fillId="44" borderId="28" xfId="42" applyFont="1" applyFill="1" applyBorder="1" applyAlignment="1">
      <alignment horizontal="center" vertical="center"/>
    </xf>
    <xf numFmtId="17" fontId="50" fillId="44" borderId="27" xfId="42" quotePrefix="1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43" fontId="43" fillId="0" borderId="0" xfId="42" applyFont="1" applyAlignment="1">
      <alignment horizontal="center" vertical="center"/>
    </xf>
    <xf numFmtId="0" fontId="32" fillId="44" borderId="27" xfId="0" applyFont="1" applyFill="1" applyBorder="1" applyAlignment="1">
      <alignment horizontal="left" vertical="center" indent="1"/>
    </xf>
    <xf numFmtId="0" fontId="32" fillId="44" borderId="52" xfId="0" applyFont="1" applyFill="1" applyBorder="1" applyAlignment="1">
      <alignment horizontal="left" vertical="center" indent="1"/>
    </xf>
    <xf numFmtId="0" fontId="32" fillId="44" borderId="28" xfId="0" applyFont="1" applyFill="1" applyBorder="1" applyAlignment="1">
      <alignment horizontal="left" vertical="center" indent="1"/>
    </xf>
    <xf numFmtId="49" fontId="45" fillId="0" borderId="48" xfId="0" applyNumberFormat="1" applyFont="1" applyBorder="1" applyAlignment="1">
      <alignment horizontal="left" vertical="center" indent="1"/>
    </xf>
    <xf numFmtId="49" fontId="18" fillId="34" borderId="48" xfId="0" applyNumberFormat="1" applyFont="1" applyFill="1" applyBorder="1" applyAlignment="1">
      <alignment horizontal="center" vertical="center" wrapText="1"/>
    </xf>
    <xf numFmtId="49" fontId="45" fillId="0" borderId="48" xfId="0" applyNumberFormat="1" applyFont="1" applyBorder="1" applyAlignment="1">
      <alignment horizontal="center"/>
    </xf>
    <xf numFmtId="49" fontId="18" fillId="34" borderId="48" xfId="44" applyNumberFormat="1" applyFont="1" applyFill="1" applyBorder="1" applyAlignment="1">
      <alignment horizontal="center" vertical="center" wrapText="1"/>
    </xf>
    <xf numFmtId="49" fontId="58" fillId="34" borderId="48" xfId="0" applyNumberFormat="1" applyFont="1" applyFill="1" applyBorder="1" applyAlignment="1">
      <alignment horizontal="center" vertical="center"/>
    </xf>
    <xf numFmtId="0" fontId="58" fillId="45" borderId="23" xfId="0" applyFont="1" applyFill="1" applyBorder="1" applyAlignment="1">
      <alignment horizontal="center" vertical="center"/>
    </xf>
    <xf numFmtId="0" fontId="58" fillId="45" borderId="25" xfId="0" applyFont="1" applyFill="1" applyBorder="1" applyAlignment="1">
      <alignment horizontal="center" vertical="center"/>
    </xf>
    <xf numFmtId="0" fontId="47" fillId="0" borderId="0" xfId="0" applyFont="1" applyAlignment="1">
      <alignment horizontal="right" vertical="top"/>
    </xf>
    <xf numFmtId="0" fontId="60" fillId="40" borderId="0" xfId="0" applyFont="1" applyFill="1" applyAlignment="1" applyProtection="1">
      <alignment horizontal="center" vertical="center"/>
      <protection locked="0"/>
    </xf>
    <xf numFmtId="0" fontId="54" fillId="47" borderId="85" xfId="0" applyFont="1" applyFill="1" applyBorder="1" applyAlignment="1">
      <alignment horizontal="center" vertical="center"/>
    </xf>
    <xf numFmtId="0" fontId="54" fillId="47" borderId="86" xfId="0" applyFont="1" applyFill="1" applyBorder="1" applyAlignment="1">
      <alignment horizontal="center" vertical="center"/>
    </xf>
    <xf numFmtId="0" fontId="54" fillId="47" borderId="87" xfId="0" applyFont="1" applyFill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0" fillId="0" borderId="52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0" fillId="37" borderId="155" xfId="0" applyFill="1" applyBorder="1" applyAlignment="1">
      <alignment horizontal="left"/>
    </xf>
    <xf numFmtId="0" fontId="0" fillId="37" borderId="0" xfId="0" applyFill="1" applyAlignment="1">
      <alignment horizontal="left"/>
    </xf>
    <xf numFmtId="0" fontId="0" fillId="37" borderId="156" xfId="0" applyFill="1" applyBorder="1" applyAlignment="1">
      <alignment horizontal="left"/>
    </xf>
    <xf numFmtId="0" fontId="0" fillId="37" borderId="155" xfId="0" applyFill="1" applyBorder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0" fillId="37" borderId="156" xfId="0" applyFill="1" applyBorder="1" applyAlignment="1">
      <alignment horizontal="left" vertical="center"/>
    </xf>
    <xf numFmtId="0" fontId="98" fillId="43" borderId="23" xfId="0" applyFont="1" applyFill="1" applyBorder="1" applyAlignment="1">
      <alignment horizontal="center"/>
    </xf>
    <xf numFmtId="0" fontId="98" fillId="43" borderId="25" xfId="0" applyFont="1" applyFill="1" applyBorder="1" applyAlignment="1">
      <alignment horizontal="center"/>
    </xf>
    <xf numFmtId="0" fontId="18" fillId="57" borderId="153" xfId="0" applyFont="1" applyFill="1" applyBorder="1" applyAlignment="1">
      <alignment horizontal="center" vertical="center" wrapText="1"/>
    </xf>
    <xf numFmtId="0" fontId="18" fillId="57" borderId="154" xfId="0" applyFont="1" applyFill="1" applyBorder="1" applyAlignment="1">
      <alignment horizontal="center" vertical="center" wrapText="1"/>
    </xf>
    <xf numFmtId="0" fontId="18" fillId="57" borderId="159" xfId="0" applyFont="1" applyFill="1" applyBorder="1" applyAlignment="1">
      <alignment horizontal="center" vertical="center" wrapText="1"/>
    </xf>
    <xf numFmtId="0" fontId="18" fillId="57" borderId="153" xfId="0" applyFont="1" applyFill="1" applyBorder="1" applyAlignment="1">
      <alignment horizontal="center" vertical="center"/>
    </xf>
    <xf numFmtId="0" fontId="18" fillId="57" borderId="159" xfId="0" applyFont="1" applyFill="1" applyBorder="1" applyAlignment="1">
      <alignment horizontal="center" vertical="center"/>
    </xf>
    <xf numFmtId="0" fontId="18" fillId="57" borderId="154" xfId="0" applyFont="1" applyFill="1" applyBorder="1" applyAlignment="1">
      <alignment horizontal="center" vertical="center"/>
    </xf>
    <xf numFmtId="0" fontId="96" fillId="43" borderId="130" xfId="0" applyFont="1" applyFill="1" applyBorder="1" applyAlignment="1">
      <alignment horizontal="center"/>
    </xf>
    <xf numFmtId="0" fontId="96" fillId="43" borderId="131" xfId="0" applyFont="1" applyFill="1" applyBorder="1" applyAlignment="1">
      <alignment horizontal="center"/>
    </xf>
    <xf numFmtId="0" fontId="86" fillId="0" borderId="110" xfId="0" applyFont="1" applyBorder="1" applyAlignment="1">
      <alignment horizontal="left" vertical="center" wrapText="1"/>
    </xf>
    <xf numFmtId="0" fontId="86" fillId="0" borderId="111" xfId="0" applyFont="1" applyBorder="1" applyAlignment="1">
      <alignment horizontal="left" vertical="center" wrapText="1"/>
    </xf>
    <xf numFmtId="0" fontId="86" fillId="0" borderId="112" xfId="0" applyFont="1" applyBorder="1" applyAlignment="1">
      <alignment horizontal="left" vertical="center" wrapText="1"/>
    </xf>
    <xf numFmtId="0" fontId="86" fillId="0" borderId="110" xfId="0" applyFont="1" applyBorder="1" applyAlignment="1">
      <alignment horizontal="left" wrapText="1"/>
    </xf>
    <xf numFmtId="0" fontId="86" fillId="0" borderId="111" xfId="0" applyFont="1" applyBorder="1" applyAlignment="1">
      <alignment horizontal="left" wrapText="1"/>
    </xf>
    <xf numFmtId="0" fontId="86" fillId="0" borderId="112" xfId="0" applyFont="1" applyBorder="1" applyAlignment="1">
      <alignment horizontal="left" wrapText="1"/>
    </xf>
    <xf numFmtId="0" fontId="18" fillId="57" borderId="137" xfId="0" applyFont="1" applyFill="1" applyBorder="1" applyAlignment="1">
      <alignment horizontal="center" vertical="center" wrapText="1"/>
    </xf>
    <xf numFmtId="0" fontId="18" fillId="57" borderId="138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18" fillId="57" borderId="132" xfId="0" applyFont="1" applyFill="1" applyBorder="1" applyAlignment="1">
      <alignment horizontal="center" vertical="center"/>
    </xf>
    <xf numFmtId="0" fontId="18" fillId="57" borderId="97" xfId="0" applyFont="1" applyFill="1" applyBorder="1" applyAlignment="1">
      <alignment horizontal="center" vertical="center"/>
    </xf>
    <xf numFmtId="0" fontId="19" fillId="57" borderId="0" xfId="0" applyFont="1" applyFill="1" applyAlignment="1">
      <alignment horizontal="center" vertical="center" wrapText="1"/>
    </xf>
    <xf numFmtId="0" fontId="78" fillId="55" borderId="0" xfId="0" applyFont="1" applyFill="1" applyAlignment="1">
      <alignment horizontal="left" vertical="center"/>
    </xf>
    <xf numFmtId="0" fontId="78" fillId="55" borderId="21" xfId="0" applyFont="1" applyFill="1" applyBorder="1" applyAlignment="1">
      <alignment horizontal="left" vertical="center"/>
    </xf>
    <xf numFmtId="0" fontId="18" fillId="57" borderId="133" xfId="0" applyFont="1" applyFill="1" applyBorder="1" applyAlignment="1">
      <alignment horizontal="center" vertical="center" wrapText="1"/>
    </xf>
    <xf numFmtId="0" fontId="18" fillId="57" borderId="73" xfId="0" applyFont="1" applyFill="1" applyBorder="1" applyAlignment="1">
      <alignment horizontal="center" vertical="center" wrapText="1"/>
    </xf>
    <xf numFmtId="0" fontId="18" fillId="57" borderId="74" xfId="0" applyFont="1" applyFill="1" applyBorder="1" applyAlignment="1">
      <alignment horizontal="center" vertical="center" wrapText="1"/>
    </xf>
    <xf numFmtId="0" fontId="0" fillId="0" borderId="105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76" xfId="0" applyBorder="1" applyAlignment="1">
      <alignment horizontal="left" vertical="center" wrapText="1" indent="1"/>
    </xf>
    <xf numFmtId="0" fontId="83" fillId="0" borderId="0" xfId="0" applyFont="1" applyAlignment="1">
      <alignment horizontal="left" wrapText="1"/>
    </xf>
    <xf numFmtId="0" fontId="83" fillId="0" borderId="0" xfId="0" applyFont="1" applyAlignment="1">
      <alignment horizontal="left" vertical="center" wrapText="1"/>
    </xf>
    <xf numFmtId="0" fontId="85" fillId="56" borderId="0" xfId="0" applyFont="1" applyFill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85" fillId="0" borderId="0" xfId="0" applyFont="1" applyAlignment="1">
      <alignment horizontal="center" vertical="center" wrapText="1"/>
    </xf>
    <xf numFmtId="165" fontId="0" fillId="0" borderId="0" xfId="42" applyNumberFormat="1" applyFont="1"/>
    <xf numFmtId="165" fontId="64" fillId="51" borderId="95" xfId="42" applyNumberFormat="1" applyFont="1" applyFill="1" applyBorder="1" applyAlignment="1">
      <alignment wrapText="1"/>
    </xf>
    <xf numFmtId="20" fontId="78" fillId="0" borderId="0" xfId="0" quotePrefix="1" applyNumberFormat="1" applyFont="1" applyBorder="1"/>
    <xf numFmtId="0" fontId="78" fillId="0" borderId="0" xfId="0" applyFont="1" applyBorder="1"/>
    <xf numFmtId="0" fontId="81" fillId="0" borderId="0" xfId="0" applyFont="1" applyBorder="1"/>
    <xf numFmtId="0" fontId="82" fillId="0" borderId="0" xfId="0" applyFont="1" applyBorder="1"/>
    <xf numFmtId="0" fontId="0" fillId="0" borderId="0" xfId="0" applyBorder="1"/>
    <xf numFmtId="0" fontId="86" fillId="0" borderId="0" xfId="0" applyFont="1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left" indent="1"/>
    </xf>
    <xf numFmtId="0" fontId="0" fillId="0" borderId="0" xfId="0" applyBorder="1" applyAlignment="1">
      <alignment wrapText="1"/>
    </xf>
    <xf numFmtId="0" fontId="83" fillId="0" borderId="0" xfId="0" applyFont="1" applyBorder="1" applyAlignment="1">
      <alignment wrapText="1"/>
    </xf>
    <xf numFmtId="0" fontId="18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42" fillId="58" borderId="0" xfId="0" applyFont="1" applyFill="1" applyBorder="1" applyAlignment="1">
      <alignment horizontal="center"/>
    </xf>
    <xf numFmtId="20" fontId="78" fillId="55" borderId="103" xfId="0" quotePrefix="1" applyNumberFormat="1" applyFont="1" applyFill="1" applyBorder="1"/>
    <xf numFmtId="0" fontId="78" fillId="55" borderId="103" xfId="0" applyFont="1" applyFill="1" applyBorder="1"/>
    <xf numFmtId="0" fontId="81" fillId="55" borderId="103" xfId="0" applyFont="1" applyFill="1" applyBorder="1"/>
    <xf numFmtId="0" fontId="82" fillId="55" borderId="103" xfId="0" applyFont="1" applyFill="1" applyBorder="1"/>
    <xf numFmtId="0" fontId="0" fillId="55" borderId="103" xfId="0" applyFill="1" applyBorder="1"/>
    <xf numFmtId="0" fontId="0" fillId="0" borderId="106" xfId="0" applyBorder="1" applyAlignment="1">
      <alignment wrapText="1"/>
    </xf>
    <xf numFmtId="0" fontId="80" fillId="57" borderId="0" xfId="0" applyFont="1" applyFill="1" applyBorder="1" applyAlignment="1">
      <alignment horizontal="left" vertical="top" wrapText="1"/>
    </xf>
    <xf numFmtId="0" fontId="0" fillId="0" borderId="163" xfId="0" applyBorder="1"/>
    <xf numFmtId="0" fontId="0" fillId="0" borderId="164" xfId="0" applyBorder="1"/>
    <xf numFmtId="0" fontId="0" fillId="0" borderId="165" xfId="0" applyBorder="1"/>
    <xf numFmtId="0" fontId="0" fillId="0" borderId="166" xfId="0" applyBorder="1"/>
    <xf numFmtId="0" fontId="0" fillId="0" borderId="167" xfId="0" applyBorder="1"/>
    <xf numFmtId="0" fontId="0" fillId="0" borderId="168" xfId="0" applyBorder="1"/>
    <xf numFmtId="0" fontId="0" fillId="0" borderId="169" xfId="0" applyBorder="1"/>
    <xf numFmtId="0" fontId="0" fillId="0" borderId="170" xfId="0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[0] 2" xfId="44" xr:uid="{6C2A4A5D-3B1B-48C3-92CE-1301ECFB3E3B}"/>
    <cellStyle name="Comma 2" xfId="45" xr:uid="{8B0D60E8-D953-48BB-B8A3-D22F56C56AC4}"/>
    <cellStyle name="Comma 2 2" xfId="46" xr:uid="{AB000F07-7DFA-4A93-8CF9-77995CAB986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BE02CC62-005D-4BD8-A620-7DA1ECB6514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06E6B"/>
      <color rgb="FFFFDE7A"/>
      <color rgb="FF48A39E"/>
      <color rgb="FF419591"/>
      <color rgb="FFFC9804"/>
      <color rgb="FFFDB345"/>
      <color rgb="FFC5E5E3"/>
      <color rgb="FF3C8884"/>
      <color rgb="FF9AD2C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PT Bahtera Pesat Lintasbuana (PT BPL)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'Menu CFA (2)'!$B$61</c:f>
              <c:strCache>
                <c:ptCount val="1"/>
                <c:pt idx="0">
                  <c:v>PT Bahtera Pesat Lintasbuana (PT BPL)</c:v>
                </c:pt>
              </c:strCache>
            </c:strRef>
          </c:tx>
          <c:spPr>
            <a:solidFill>
              <a:srgbClr val="306E6B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1972717733473244E-3"/>
                  <c:y val="-2.7160180070442652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C6A0DE3-444A-408A-B08B-BB787FDCBAEA}" type="CELLRANGE">
                      <a:rPr lang="en-US"/>
                      <a:pPr>
                        <a:defRPr sz="1200" b="1"/>
                      </a:pPr>
                      <a:t>[CELLRANGE]</a:t>
                    </a:fld>
                    <a:endParaRPr lang="id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103-4539-9457-229A4D4C9F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1E46E1F-40AE-4203-8B6E-320D059BAD19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103-4539-9457-229A4D4C9F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19EA51C-913B-480E-B40D-0FD3FB0ED631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103-4539-9457-229A4D4C9F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52F6F7-EFE3-4EA6-B96A-E8535321BF8C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103-4539-9457-229A4D4C9F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'Menu CFA (2)'!$C$60:$F$60</c:f>
              <c:strCache>
                <c:ptCount val="4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</c:strCache>
            </c:strRef>
          </c:cat>
          <c:val>
            <c:numRef>
              <c:f>'Menu CFA (2)'!$C$61:$F$61</c:f>
              <c:numCache>
                <c:formatCode>0.00</c:formatCode>
                <c:ptCount val="4"/>
                <c:pt idx="0">
                  <c:v>7949.9401669999997</c:v>
                </c:pt>
                <c:pt idx="1">
                  <c:v>6837.9700860000003</c:v>
                </c:pt>
                <c:pt idx="2">
                  <c:v>8819.2250129999993</c:v>
                </c:pt>
                <c:pt idx="3">
                  <c:v>9186.8765359999998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'Menu CFA (2)'!$G$61:$J$61</c15:f>
                <c15:dlblRangeCache>
                  <c:ptCount val="4"/>
                  <c:pt idx="0">
                    <c:v> 7.950 </c:v>
                  </c:pt>
                  <c:pt idx="1">
                    <c:v>-1.112 </c:v>
                  </c:pt>
                  <c:pt idx="2">
                    <c:v> 1.981 </c:v>
                  </c:pt>
                  <c:pt idx="3">
                    <c:v> 368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B6D-47BE-9FB9-2E83C368E7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80"/>
        <c:axId val="817726472"/>
        <c:axId val="817728520"/>
      </c:barChart>
      <c:catAx>
        <c:axId val="817726472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28520"/>
        <c:crosses val="autoZero"/>
        <c:auto val="1"/>
        <c:lblAlgn val="ctr"/>
        <c:lblOffset val="100"/>
        <c:noMultiLvlLbl val="0"/>
      </c:catAx>
      <c:valAx>
        <c:axId val="81772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26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4" Type="http://schemas.openxmlformats.org/officeDocument/2006/relationships/image" Target="../media/image6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30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microsoft.com/office/2007/relationships/hdphoto" Target="../media/hdphoto1.wdp"/><Relationship Id="rId2" Type="http://schemas.openxmlformats.org/officeDocument/2006/relationships/image" Target="../media/image18.png"/><Relationship Id="rId1" Type="http://schemas.openxmlformats.org/officeDocument/2006/relationships/image" Target="../media/image7.png"/><Relationship Id="rId6" Type="http://schemas.openxmlformats.org/officeDocument/2006/relationships/image" Target="../media/image22.png"/><Relationship Id="rId11" Type="http://schemas.openxmlformats.org/officeDocument/2006/relationships/image" Target="../media/image29.png"/><Relationship Id="rId5" Type="http://schemas.openxmlformats.org/officeDocument/2006/relationships/image" Target="../media/image21.png"/><Relationship Id="rId15" Type="http://schemas.openxmlformats.org/officeDocument/2006/relationships/image" Target="../media/image28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184546</xdr:rowOff>
    </xdr:from>
    <xdr:to>
      <xdr:col>7</xdr:col>
      <xdr:colOff>17860</xdr:colOff>
      <xdr:row>6</xdr:row>
      <xdr:rowOff>5953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3F3099-426B-88F6-28F9-E7A92D665216}"/>
            </a:ext>
          </a:extLst>
        </xdr:cNvPr>
        <xdr:cNvCxnSpPr/>
      </xdr:nvCxnSpPr>
      <xdr:spPr>
        <a:xfrm>
          <a:off x="1708547" y="1023937"/>
          <a:ext cx="1232297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</xdr:colOff>
      <xdr:row>5</xdr:row>
      <xdr:rowOff>184546</xdr:rowOff>
    </xdr:from>
    <xdr:to>
      <xdr:col>10</xdr:col>
      <xdr:colOff>0</xdr:colOff>
      <xdr:row>5</xdr:row>
      <xdr:rowOff>184547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08DA6BC-856C-4C74-B7A8-7C49627C01AD}"/>
            </a:ext>
          </a:extLst>
        </xdr:cNvPr>
        <xdr:cNvCxnSpPr/>
      </xdr:nvCxnSpPr>
      <xdr:spPr>
        <a:xfrm flipV="1">
          <a:off x="4631531" y="1226343"/>
          <a:ext cx="115490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5952</xdr:colOff>
      <xdr:row>6</xdr:row>
      <xdr:rowOff>148828</xdr:rowOff>
    </xdr:from>
    <xdr:to>
      <xdr:col>9</xdr:col>
      <xdr:colOff>1154906</xdr:colOff>
      <xdr:row>6</xdr:row>
      <xdr:rowOff>154781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3DE8C32-D2A1-4AA0-BAC7-B051136835E4}"/>
            </a:ext>
          </a:extLst>
        </xdr:cNvPr>
        <xdr:cNvCxnSpPr/>
      </xdr:nvCxnSpPr>
      <xdr:spPr>
        <a:xfrm flipH="1">
          <a:off x="4143374" y="1178719"/>
          <a:ext cx="1148954" cy="59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7</xdr:row>
      <xdr:rowOff>190498</xdr:rowOff>
    </xdr:from>
    <xdr:to>
      <xdr:col>7</xdr:col>
      <xdr:colOff>523876</xdr:colOff>
      <xdr:row>11</xdr:row>
      <xdr:rowOff>250030</xdr:rowOff>
    </xdr:to>
    <xdr:cxnSp macro="">
      <xdr:nvCxnSpPr>
        <xdr:cNvPr id="25" name="Connector: Elbow 15">
          <a:extLst>
            <a:ext uri="{FF2B5EF4-FFF2-40B4-BE49-F238E27FC236}">
              <a16:creationId xmlns:a16="http://schemas.microsoft.com/office/drawing/2014/main" id="{6DD81BD5-FBFB-88C8-75A9-0270B2AAFCEC}"/>
            </a:ext>
            <a:ext uri="{147F2762-F138-4A5C-976F-8EAC2B608ADB}">
              <a16:predDERef xmlns:a16="http://schemas.microsoft.com/office/drawing/2014/main" pred="{73DE8C32-D2A1-4AA0-BAC7-B051136835E4}"/>
            </a:ext>
          </a:extLst>
        </xdr:cNvPr>
        <xdr:cNvCxnSpPr/>
      </xdr:nvCxnSpPr>
      <xdr:spPr>
        <a:xfrm rot="10800000" flipV="1">
          <a:off x="1988344" y="1613295"/>
          <a:ext cx="1488282" cy="976313"/>
        </a:xfrm>
        <a:prstGeom prst="bentConnector3">
          <a:avLst>
            <a:gd name="adj1" fmla="val -24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590550</xdr:colOff>
      <xdr:row>9</xdr:row>
      <xdr:rowOff>85725</xdr:rowOff>
    </xdr:from>
    <xdr:to>
      <xdr:col>35</xdr:col>
      <xdr:colOff>533400</xdr:colOff>
      <xdr:row>19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6B0E3859-911D-4B8C-A199-7C2CEBC8DDCE}"/>
            </a:ext>
            <a:ext uri="{147F2762-F138-4A5C-976F-8EAC2B608ADB}">
              <a16:predDERef xmlns:a16="http://schemas.microsoft.com/office/drawing/2014/main" pred="{8E9AE46A-4440-4DC9-9065-91B0845F1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58525" y="2105025"/>
          <a:ext cx="18288000" cy="1857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190500</xdr:rowOff>
    </xdr:from>
    <xdr:to>
      <xdr:col>20</xdr:col>
      <xdr:colOff>561975</xdr:colOff>
      <xdr:row>8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43F0D7-1958-4D3B-B043-2BE049E2DF98}"/>
            </a:ext>
            <a:ext uri="{147F2762-F138-4A5C-976F-8EAC2B608ADB}">
              <a16:predDERef xmlns:a16="http://schemas.microsoft.com/office/drawing/2014/main" pred="{6B0E3859-911D-4B8C-A199-7C2CEBC8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57200"/>
          <a:ext cx="15287625" cy="138112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9</xdr:col>
      <xdr:colOff>438150</xdr:colOff>
      <xdr:row>10</xdr:row>
      <xdr:rowOff>9526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EA2ACD9-65DC-4B95-9796-86A59B58A1B6}"/>
            </a:ext>
            <a:ext uri="{147F2762-F138-4A5C-976F-8EAC2B608ADB}">
              <a16:predDERef xmlns:a16="http://schemas.microsoft.com/office/drawing/2014/main" pred="{AD892A67-FCBA-4590-A76F-3B495E5D288D}"/>
            </a:ext>
          </a:extLst>
        </xdr:cNvPr>
        <xdr:cNvSpPr/>
      </xdr:nvSpPr>
      <xdr:spPr>
        <a:xfrm>
          <a:off x="4086225" y="8324850"/>
          <a:ext cx="1133475" cy="200026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D" sz="1050" b="0">
              <a:solidFill>
                <a:sysClr val="windowText" lastClr="000000"/>
              </a:solidFill>
            </a:rPr>
            <a:t>April</a:t>
          </a:r>
        </a:p>
      </xdr:txBody>
    </xdr:sp>
    <xdr:clientData/>
  </xdr:twoCellAnchor>
  <xdr:twoCellAnchor>
    <xdr:from>
      <xdr:col>12</xdr:col>
      <xdr:colOff>47625</xdr:colOff>
      <xdr:row>9</xdr:row>
      <xdr:rowOff>0</xdr:rowOff>
    </xdr:from>
    <xdr:to>
      <xdr:col>14</xdr:col>
      <xdr:colOff>95250</xdr:colOff>
      <xdr:row>10</xdr:row>
      <xdr:rowOff>19050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1066A36-E722-47CE-A212-3BDEAF453199}"/>
            </a:ext>
            <a:ext uri="{147F2762-F138-4A5C-976F-8EAC2B608ADB}">
              <a16:predDERef xmlns:a16="http://schemas.microsoft.com/office/drawing/2014/main" pred="{FC70BE74-3651-4563-97DE-989C458BDE90}"/>
            </a:ext>
          </a:extLst>
        </xdr:cNvPr>
        <xdr:cNvSpPr/>
      </xdr:nvSpPr>
      <xdr:spPr>
        <a:xfrm>
          <a:off x="11163300" y="2019300"/>
          <a:ext cx="819150" cy="209550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D" sz="1050" b="0">
              <a:solidFill>
                <a:sysClr val="windowText" lastClr="000000"/>
              </a:solidFill>
            </a:rPr>
            <a:t>2025</a:t>
          </a:r>
        </a:p>
      </xdr:txBody>
    </xdr:sp>
    <xdr:clientData/>
  </xdr:twoCellAnchor>
  <xdr:twoCellAnchor>
    <xdr:from>
      <xdr:col>12</xdr:col>
      <xdr:colOff>657226</xdr:colOff>
      <xdr:row>9</xdr:row>
      <xdr:rowOff>0</xdr:rowOff>
    </xdr:from>
    <xdr:to>
      <xdr:col>14</xdr:col>
      <xdr:colOff>7621</xdr:colOff>
      <xdr:row>9</xdr:row>
      <xdr:rowOff>144780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E4B34A67-AAF0-46FD-88E8-D961EC3CBA25}"/>
            </a:ext>
            <a:ext uri="{147F2762-F138-4A5C-976F-8EAC2B608ADB}">
              <a16:predDERef xmlns:a16="http://schemas.microsoft.com/office/drawing/2014/main" pred="{B1066A36-E722-47CE-A212-3BDEAF453199}"/>
            </a:ext>
          </a:extLst>
        </xdr:cNvPr>
        <xdr:cNvSpPr/>
      </xdr:nvSpPr>
      <xdr:spPr>
        <a:xfrm rot="7165983" flipV="1">
          <a:off x="11761471" y="2030730"/>
          <a:ext cx="144780" cy="121920"/>
        </a:xfrm>
        <a:prstGeom prst="triangle">
          <a:avLst/>
        </a:prstGeom>
        <a:solidFill>
          <a:srgbClr val="0066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  <xdr:twoCellAnchor>
    <xdr:from>
      <xdr:col>9</xdr:col>
      <xdr:colOff>247650</xdr:colOff>
      <xdr:row>9</xdr:row>
      <xdr:rowOff>9525</xdr:rowOff>
    </xdr:from>
    <xdr:to>
      <xdr:col>9</xdr:col>
      <xdr:colOff>369570</xdr:colOff>
      <xdr:row>9</xdr:row>
      <xdr:rowOff>154305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B4AD4A27-BF73-4DFC-8982-098DB70F60CC}"/>
            </a:ext>
            <a:ext uri="{147F2762-F138-4A5C-976F-8EAC2B608ADB}">
              <a16:predDERef xmlns:a16="http://schemas.microsoft.com/office/drawing/2014/main" pred="{E4B34A67-AAF0-46FD-88E8-D961EC3CBA25}"/>
            </a:ext>
          </a:extLst>
        </xdr:cNvPr>
        <xdr:cNvSpPr/>
      </xdr:nvSpPr>
      <xdr:spPr>
        <a:xfrm rot="7165983" flipV="1">
          <a:off x="9885045" y="2040255"/>
          <a:ext cx="144780" cy="121920"/>
        </a:xfrm>
        <a:prstGeom prst="triangle">
          <a:avLst/>
        </a:prstGeom>
        <a:solidFill>
          <a:srgbClr val="0066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  <xdr:twoCellAnchor>
    <xdr:from>
      <xdr:col>2</xdr:col>
      <xdr:colOff>314325</xdr:colOff>
      <xdr:row>11</xdr:row>
      <xdr:rowOff>161926</xdr:rowOff>
    </xdr:from>
    <xdr:to>
      <xdr:col>15</xdr:col>
      <xdr:colOff>447675</xdr:colOff>
      <xdr:row>33</xdr:row>
      <xdr:rowOff>19051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127366-A2C7-4BD9-CB2C-327C64CA8EB3}"/>
            </a:ext>
            <a:ext uri="{147F2762-F138-4A5C-976F-8EAC2B608ADB}">
              <a16:predDERef xmlns:a16="http://schemas.microsoft.com/office/drawing/2014/main" pred="{B4AD4A27-BF73-4DFC-8982-098DB70F6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85725</xdr:colOff>
      <xdr:row>9</xdr:row>
      <xdr:rowOff>0</xdr:rowOff>
    </xdr:from>
    <xdr:to>
      <xdr:col>5</xdr:col>
      <xdr:colOff>971550</xdr:colOff>
      <xdr:row>10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C38D00E-293B-48C0-9363-55D1EB04F87D}"/>
            </a:ext>
            <a:ext uri="{147F2762-F138-4A5C-976F-8EAC2B608ADB}">
              <a16:predDERef xmlns:a16="http://schemas.microsoft.com/office/drawing/2014/main" pred="{AD892A67-FCBA-4590-A76F-3B495E5D288D}"/>
            </a:ext>
          </a:extLst>
        </xdr:cNvPr>
        <xdr:cNvSpPr/>
      </xdr:nvSpPr>
      <xdr:spPr>
        <a:xfrm>
          <a:off x="5762625" y="2019300"/>
          <a:ext cx="1905000" cy="209550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D" sz="1050" b="0">
              <a:solidFill>
                <a:sysClr val="windowText" lastClr="000000"/>
              </a:solidFill>
            </a:rPr>
            <a:t>PT Bahtera Pesat Lintasbuana</a:t>
          </a:r>
        </a:p>
      </xdr:txBody>
    </xdr:sp>
    <xdr:clientData/>
  </xdr:twoCellAnchor>
  <xdr:twoCellAnchor>
    <xdr:from>
      <xdr:col>5</xdr:col>
      <xdr:colOff>800101</xdr:colOff>
      <xdr:row>9</xdr:row>
      <xdr:rowOff>9525</xdr:rowOff>
    </xdr:from>
    <xdr:to>
      <xdr:col>5</xdr:col>
      <xdr:colOff>922021</xdr:colOff>
      <xdr:row>9</xdr:row>
      <xdr:rowOff>154305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5B27E92B-6DC9-42E9-9B0C-32F7414FAF1F}"/>
            </a:ext>
            <a:ext uri="{147F2762-F138-4A5C-976F-8EAC2B608ADB}">
              <a16:predDERef xmlns:a16="http://schemas.microsoft.com/office/drawing/2014/main" pred="{E4B34A67-AAF0-46FD-88E8-D961EC3CBA25}"/>
            </a:ext>
          </a:extLst>
        </xdr:cNvPr>
        <xdr:cNvSpPr/>
      </xdr:nvSpPr>
      <xdr:spPr>
        <a:xfrm rot="7165983" flipV="1">
          <a:off x="7484746" y="2040255"/>
          <a:ext cx="144780" cy="121920"/>
        </a:xfrm>
        <a:prstGeom prst="triangle">
          <a:avLst/>
        </a:prstGeom>
        <a:solidFill>
          <a:srgbClr val="0066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  <xdr:twoCellAnchor>
    <xdr:from>
      <xdr:col>5</xdr:col>
      <xdr:colOff>727147</xdr:colOff>
      <xdr:row>18</xdr:row>
      <xdr:rowOff>165853</xdr:rowOff>
    </xdr:from>
    <xdr:to>
      <xdr:col>5</xdr:col>
      <xdr:colOff>831754</xdr:colOff>
      <xdr:row>19</xdr:row>
      <xdr:rowOff>97074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1550A8DF-86FC-45BB-8A92-BF9236CBA2B9}"/>
            </a:ext>
            <a:ext uri="{147F2762-F138-4A5C-976F-8EAC2B608ADB}">
              <a16:predDERef xmlns:a16="http://schemas.microsoft.com/office/drawing/2014/main" pred="{E4B34A67-AAF0-46FD-88E8-D961EC3CBA25}"/>
            </a:ext>
          </a:extLst>
        </xdr:cNvPr>
        <xdr:cNvSpPr/>
      </xdr:nvSpPr>
      <xdr:spPr>
        <a:xfrm rot="7165983" flipV="1">
          <a:off x="7409903" y="3941547"/>
          <a:ext cx="131246" cy="104607"/>
        </a:xfrm>
        <a:prstGeom prst="triangle">
          <a:avLst/>
        </a:prstGeom>
        <a:solidFill>
          <a:srgbClr val="0066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  <xdr:twoCellAnchor>
    <xdr:from>
      <xdr:col>3</xdr:col>
      <xdr:colOff>704851</xdr:colOff>
      <xdr:row>17</xdr:row>
      <xdr:rowOff>0</xdr:rowOff>
    </xdr:from>
    <xdr:to>
      <xdr:col>3</xdr:col>
      <xdr:colOff>826771</xdr:colOff>
      <xdr:row>17</xdr:row>
      <xdr:rowOff>144780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80A15C0B-EE23-4C3E-A94C-D0C422CA9CFE}"/>
            </a:ext>
            <a:ext uri="{147F2762-F138-4A5C-976F-8EAC2B608ADB}">
              <a16:predDERef xmlns:a16="http://schemas.microsoft.com/office/drawing/2014/main" pred="{E4B34A67-AAF0-46FD-88E8-D961EC3CBA25}"/>
            </a:ext>
          </a:extLst>
        </xdr:cNvPr>
        <xdr:cNvSpPr/>
      </xdr:nvSpPr>
      <xdr:spPr>
        <a:xfrm rot="17931366" flipV="1">
          <a:off x="5351146" y="3573780"/>
          <a:ext cx="144780" cy="12192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  <xdr:twoCellAnchor>
    <xdr:from>
      <xdr:col>8</xdr:col>
      <xdr:colOff>561976</xdr:colOff>
      <xdr:row>15</xdr:row>
      <xdr:rowOff>104774</xdr:rowOff>
    </xdr:from>
    <xdr:to>
      <xdr:col>8</xdr:col>
      <xdr:colOff>683896</xdr:colOff>
      <xdr:row>16</xdr:row>
      <xdr:rowOff>49529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9151C3C9-55BD-4F54-BEBE-851E55572784}"/>
            </a:ext>
            <a:ext uri="{147F2762-F138-4A5C-976F-8EAC2B608ADB}">
              <a16:predDERef xmlns:a16="http://schemas.microsoft.com/office/drawing/2014/main" pred="{E4B34A67-AAF0-46FD-88E8-D961EC3CBA25}"/>
            </a:ext>
          </a:extLst>
        </xdr:cNvPr>
        <xdr:cNvSpPr/>
      </xdr:nvSpPr>
      <xdr:spPr>
        <a:xfrm rot="17931366" flipV="1">
          <a:off x="9504046" y="3278504"/>
          <a:ext cx="144780" cy="12192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  <xdr:twoCellAnchor>
    <xdr:from>
      <xdr:col>12</xdr:col>
      <xdr:colOff>514351</xdr:colOff>
      <xdr:row>14</xdr:row>
      <xdr:rowOff>152399</xdr:rowOff>
    </xdr:from>
    <xdr:to>
      <xdr:col>12</xdr:col>
      <xdr:colOff>636271</xdr:colOff>
      <xdr:row>15</xdr:row>
      <xdr:rowOff>106679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1C5ACA49-BE84-45B3-9149-9108CAF99500}"/>
            </a:ext>
            <a:ext uri="{147F2762-F138-4A5C-976F-8EAC2B608ADB}">
              <a16:predDERef xmlns:a16="http://schemas.microsoft.com/office/drawing/2014/main" pred="{E4B34A67-AAF0-46FD-88E8-D961EC3CBA25}"/>
            </a:ext>
          </a:extLst>
        </xdr:cNvPr>
        <xdr:cNvSpPr/>
      </xdr:nvSpPr>
      <xdr:spPr>
        <a:xfrm rot="17931366" flipV="1">
          <a:off x="11618596" y="3135629"/>
          <a:ext cx="144780" cy="12192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163940</xdr:rowOff>
    </xdr:from>
    <xdr:to>
      <xdr:col>11</xdr:col>
      <xdr:colOff>983113</xdr:colOff>
      <xdr:row>8</xdr:row>
      <xdr:rowOff>8283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AA52BF-8ED6-464C-93FF-22DDD6AAB944}"/>
            </a:ext>
            <a:ext uri="{147F2762-F138-4A5C-976F-8EAC2B608ADB}">
              <a16:predDERef xmlns:a16="http://schemas.microsoft.com/office/drawing/2014/main" pred="{8E5039F4-0D6A-87AF-985F-E29FE2D2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983"/>
          <a:ext cx="14384374" cy="11778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38101</xdr:rowOff>
    </xdr:from>
    <xdr:to>
      <xdr:col>18</xdr:col>
      <xdr:colOff>332472</xdr:colOff>
      <xdr:row>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2E630-4F76-4A70-BCE9-2B2C78B2DE5B}"/>
            </a:ext>
            <a:ext uri="{147F2762-F138-4A5C-976F-8EAC2B608ADB}">
              <a16:predDERef xmlns:a16="http://schemas.microsoft.com/office/drawing/2014/main" pred="{3E8334E7-361C-B915-9934-05009CE8B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301"/>
          <a:ext cx="9971772" cy="9144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104775</xdr:rowOff>
    </xdr:from>
    <xdr:to>
      <xdr:col>29</xdr:col>
      <xdr:colOff>314325</xdr:colOff>
      <xdr:row>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01980-2FC7-43E0-A636-714D07014FE0}"/>
            </a:ext>
            <a:ext uri="{147F2762-F138-4A5C-976F-8EAC2B608ADB}">
              <a16:predDERef xmlns:a16="http://schemas.microsoft.com/office/drawing/2014/main" pred="{8E5039F4-0D6A-87AF-985F-E29FE2D2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50" y="942975"/>
          <a:ext cx="10591800" cy="86677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438150</xdr:colOff>
      <xdr:row>16</xdr:row>
      <xdr:rowOff>238126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ADA917-632F-4617-8EDD-38F6B362848F}"/>
            </a:ext>
          </a:extLst>
        </xdr:cNvPr>
        <xdr:cNvSpPr/>
      </xdr:nvSpPr>
      <xdr:spPr>
        <a:xfrm>
          <a:off x="6572250" y="3552825"/>
          <a:ext cx="1133475" cy="238126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05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266701</xdr:colOff>
      <xdr:row>16</xdr:row>
      <xdr:rowOff>28575</xdr:rowOff>
    </xdr:from>
    <xdr:to>
      <xdr:col>14</xdr:col>
      <xdr:colOff>388621</xdr:colOff>
      <xdr:row>16</xdr:row>
      <xdr:rowOff>173355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B3D6AD8-BBC8-411F-B958-43EAAC9906C7}"/>
            </a:ext>
          </a:extLst>
        </xdr:cNvPr>
        <xdr:cNvSpPr/>
      </xdr:nvSpPr>
      <xdr:spPr>
        <a:xfrm rot="7165983" flipV="1">
          <a:off x="7522846" y="3592830"/>
          <a:ext cx="144780" cy="121920"/>
        </a:xfrm>
        <a:prstGeom prst="triangle">
          <a:avLst/>
        </a:prstGeom>
        <a:solidFill>
          <a:srgbClr val="0066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1</xdr:colOff>
      <xdr:row>16</xdr:row>
      <xdr:rowOff>0</xdr:rowOff>
    </xdr:from>
    <xdr:to>
      <xdr:col>16</xdr:col>
      <xdr:colOff>447676</xdr:colOff>
      <xdr:row>16</xdr:row>
      <xdr:rowOff>238126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C0D0F70-1FBF-4BEB-8A26-AA97CF053CEB}"/>
            </a:ext>
          </a:extLst>
        </xdr:cNvPr>
        <xdr:cNvSpPr/>
      </xdr:nvSpPr>
      <xdr:spPr>
        <a:xfrm>
          <a:off x="7810501" y="3552825"/>
          <a:ext cx="895350" cy="238126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050" b="0">
              <a:solidFill>
                <a:sysClr val="windowText" lastClr="000000"/>
              </a:solidFill>
            </a:rPr>
            <a:t>1.</a:t>
          </a:r>
          <a:r>
            <a:rPr lang="en-ID" sz="1050" b="0" baseline="0">
              <a:solidFill>
                <a:sysClr val="windowText" lastClr="000000"/>
              </a:solidFill>
            </a:rPr>
            <a:t> Internet</a:t>
          </a:r>
          <a:endParaRPr lang="en-ID" sz="105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266702</xdr:colOff>
      <xdr:row>16</xdr:row>
      <xdr:rowOff>28575</xdr:rowOff>
    </xdr:from>
    <xdr:to>
      <xdr:col>16</xdr:col>
      <xdr:colOff>388622</xdr:colOff>
      <xdr:row>16</xdr:row>
      <xdr:rowOff>173355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C7682A72-B2B5-4580-A1C4-DA48FB0FC19A}"/>
            </a:ext>
          </a:extLst>
        </xdr:cNvPr>
        <xdr:cNvSpPr/>
      </xdr:nvSpPr>
      <xdr:spPr>
        <a:xfrm rot="7165983" flipV="1">
          <a:off x="8513447" y="3592830"/>
          <a:ext cx="144780" cy="121920"/>
        </a:xfrm>
        <a:prstGeom prst="triangle">
          <a:avLst/>
        </a:prstGeom>
        <a:solidFill>
          <a:srgbClr val="0066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114299</xdr:colOff>
      <xdr:row>9</xdr:row>
      <xdr:rowOff>28574</xdr:rowOff>
    </xdr:from>
    <xdr:to>
      <xdr:col>14</xdr:col>
      <xdr:colOff>400050</xdr:colOff>
      <xdr:row>9</xdr:row>
      <xdr:rowOff>171448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3AB6D86F-D1D9-F48F-9556-939F9A647DC7}"/>
            </a:ext>
          </a:extLst>
        </xdr:cNvPr>
        <xdr:cNvSpPr/>
      </xdr:nvSpPr>
      <xdr:spPr>
        <a:xfrm rot="16200000">
          <a:off x="4862513" y="-652465"/>
          <a:ext cx="142874" cy="5467351"/>
        </a:xfrm>
        <a:prstGeom prst="rightBrace">
          <a:avLst>
            <a:gd name="adj1" fmla="val 8333"/>
            <a:gd name="adj2" fmla="val 51036"/>
          </a:avLst>
        </a:prstGeom>
        <a:ln>
          <a:solidFill>
            <a:srgbClr val="48A39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47624</xdr:colOff>
      <xdr:row>13</xdr:row>
      <xdr:rowOff>85724</xdr:rowOff>
    </xdr:from>
    <xdr:to>
      <xdr:col>11</xdr:col>
      <xdr:colOff>600075</xdr:colOff>
      <xdr:row>14</xdr:row>
      <xdr:rowOff>38103</xdr:rowOff>
    </xdr:to>
    <xdr:sp macro="" textlink="">
      <xdr:nvSpPr>
        <xdr:cNvPr id="22" name="Right Brace 21">
          <a:extLst>
            <a:ext uri="{FF2B5EF4-FFF2-40B4-BE49-F238E27FC236}">
              <a16:creationId xmlns:a16="http://schemas.microsoft.com/office/drawing/2014/main" id="{07FAABDA-3D3B-4DD6-B138-A3BEC776EBD8}"/>
            </a:ext>
          </a:extLst>
        </xdr:cNvPr>
        <xdr:cNvSpPr/>
      </xdr:nvSpPr>
      <xdr:spPr>
        <a:xfrm rot="5400000">
          <a:off x="4252910" y="1109663"/>
          <a:ext cx="114304" cy="4238626"/>
        </a:xfrm>
        <a:prstGeom prst="rightBrace">
          <a:avLst>
            <a:gd name="adj1" fmla="val 8333"/>
            <a:gd name="adj2" fmla="val 51036"/>
          </a:avLst>
        </a:prstGeom>
        <a:ln>
          <a:solidFill>
            <a:srgbClr val="48A39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15</xdr:col>
      <xdr:colOff>47625</xdr:colOff>
      <xdr:row>17</xdr:row>
      <xdr:rowOff>133350</xdr:rowOff>
    </xdr:from>
    <xdr:to>
      <xdr:col>16</xdr:col>
      <xdr:colOff>485775</xdr:colOff>
      <xdr:row>18</xdr:row>
      <xdr:rowOff>219075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EBE77CD-F387-5E08-19BA-165C7D4AA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4057650"/>
          <a:ext cx="8858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14</xdr:col>
      <xdr:colOff>428625</xdr:colOff>
      <xdr:row>20</xdr:row>
      <xdr:rowOff>28575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id="{3A244926-8A30-FA9D-AE21-886A636E5355}"/>
            </a:ext>
            <a:ext uri="{147F2762-F138-4A5C-976F-8EAC2B608ADB}">
              <a16:predDERef xmlns:a16="http://schemas.microsoft.com/office/drawing/2014/main" pred="{5EBE77CD-F387-5E08-19BA-165C7D4AA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1325" y="3733800"/>
          <a:ext cx="1123950" cy="942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57326</xdr:rowOff>
    </xdr:from>
    <xdr:to>
      <xdr:col>26</xdr:col>
      <xdr:colOff>66674</xdr:colOff>
      <xdr:row>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98C16-74A1-40A9-A0D1-C0A130CFA8F5}"/>
            </a:ext>
            <a:ext uri="{147F2762-F138-4A5C-976F-8EAC2B608ADB}">
              <a16:predDERef xmlns:a16="http://schemas.microsoft.com/office/drawing/2014/main" pred="{3E8334E7-361C-B915-9934-05009CE8B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5026"/>
          <a:ext cx="11839574" cy="1085675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95251</xdr:rowOff>
    </xdr:from>
    <xdr:to>
      <xdr:col>41</xdr:col>
      <xdr:colOff>161925</xdr:colOff>
      <xdr:row>8</xdr:row>
      <xdr:rowOff>142118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975A3-094C-47BC-98A7-469094C0D104}"/>
            </a:ext>
            <a:ext uri="{147F2762-F138-4A5C-976F-8EAC2B608ADB}">
              <a16:predDERef xmlns:a16="http://schemas.microsoft.com/office/drawing/2014/main" pred="{8E5039F4-0D6A-87AF-985F-E29FE2D2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1075" y="933451"/>
          <a:ext cx="9991725" cy="818392"/>
        </a:xfrm>
        <a:prstGeom prst="rect">
          <a:avLst/>
        </a:prstGeom>
      </xdr:spPr>
    </xdr:pic>
    <xdr:clientData/>
  </xdr:twoCellAnchor>
  <xdr:twoCellAnchor>
    <xdr:from>
      <xdr:col>26</xdr:col>
      <xdr:colOff>19050</xdr:colOff>
      <xdr:row>12</xdr:row>
      <xdr:rowOff>152400</xdr:rowOff>
    </xdr:from>
    <xdr:to>
      <xdr:col>27</xdr:col>
      <xdr:colOff>180975</xdr:colOff>
      <xdr:row>12</xdr:row>
      <xdr:rowOff>152400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D3F6FC0-AD02-359D-17C0-1EC6E166B94D}"/>
            </a:ext>
          </a:extLst>
        </xdr:cNvPr>
        <xdr:cNvCxnSpPr/>
      </xdr:nvCxnSpPr>
      <xdr:spPr>
        <a:xfrm>
          <a:off x="10067925" y="2695575"/>
          <a:ext cx="55245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161926</xdr:colOff>
      <xdr:row>9</xdr:row>
      <xdr:rowOff>152400</xdr:rowOff>
    </xdr:from>
    <xdr:to>
      <xdr:col>26</xdr:col>
      <xdr:colOff>56379</xdr:colOff>
      <xdr:row>10</xdr:row>
      <xdr:rowOff>247650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4A002D-A6F2-F19C-BBEA-96B80E82C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0176" y="1933575"/>
          <a:ext cx="742178" cy="295275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2</xdr:col>
      <xdr:colOff>0</xdr:colOff>
      <xdr:row>11</xdr:row>
      <xdr:rowOff>95250</xdr:rowOff>
    </xdr:from>
    <xdr:to>
      <xdr:col>3</xdr:col>
      <xdr:colOff>9525</xdr:colOff>
      <xdr:row>11</xdr:row>
      <xdr:rowOff>228600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8E530BD-2A6E-B722-085D-B83E4B4C509D}"/>
            </a:ext>
          </a:extLst>
        </xdr:cNvPr>
        <xdr:cNvSpPr/>
      </xdr:nvSpPr>
      <xdr:spPr>
        <a:xfrm>
          <a:off x="2143125" y="2333625"/>
          <a:ext cx="180975" cy="1333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0</xdr:colOff>
      <xdr:row>14</xdr:row>
      <xdr:rowOff>38100</xdr:rowOff>
    </xdr:from>
    <xdr:to>
      <xdr:col>3</xdr:col>
      <xdr:colOff>9525</xdr:colOff>
      <xdr:row>14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B74A817-4CCD-479A-9AF2-23307286A48F}"/>
            </a:ext>
          </a:extLst>
        </xdr:cNvPr>
        <xdr:cNvSpPr/>
      </xdr:nvSpPr>
      <xdr:spPr>
        <a:xfrm>
          <a:off x="2143125" y="3000375"/>
          <a:ext cx="180975" cy="1333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2</xdr:col>
      <xdr:colOff>9526</xdr:colOff>
      <xdr:row>12</xdr:row>
      <xdr:rowOff>104774</xdr:rowOff>
    </xdr:from>
    <xdr:to>
      <xdr:col>2</xdr:col>
      <xdr:colOff>161926</xdr:colOff>
      <xdr:row>12</xdr:row>
      <xdr:rowOff>257174</xdr:rowOff>
    </xdr:to>
    <xdr:pic>
      <xdr:nvPicPr>
        <xdr:cNvPr id="19" name="Graphic 18" descr="Checkmark with solid fill">
          <a:extLst>
            <a:ext uri="{FF2B5EF4-FFF2-40B4-BE49-F238E27FC236}">
              <a16:creationId xmlns:a16="http://schemas.microsoft.com/office/drawing/2014/main" id="{EA7B907F-524C-D488-FABF-4BB021700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152651" y="2647949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12</xdr:row>
      <xdr:rowOff>104775</xdr:rowOff>
    </xdr:from>
    <xdr:to>
      <xdr:col>3</xdr:col>
      <xdr:colOff>0</xdr:colOff>
      <xdr:row>12</xdr:row>
      <xdr:rowOff>238125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7357CB1-11EF-4723-A79D-797EE74B3B06}"/>
            </a:ext>
          </a:extLst>
        </xdr:cNvPr>
        <xdr:cNvSpPr/>
      </xdr:nvSpPr>
      <xdr:spPr>
        <a:xfrm>
          <a:off x="2133600" y="2647950"/>
          <a:ext cx="180975" cy="1333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37</xdr:col>
      <xdr:colOff>323850</xdr:colOff>
      <xdr:row>9</xdr:row>
      <xdr:rowOff>190500</xdr:rowOff>
    </xdr:from>
    <xdr:to>
      <xdr:col>44</xdr:col>
      <xdr:colOff>476250</xdr:colOff>
      <xdr:row>18</xdr:row>
      <xdr:rowOff>66675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B060C015-6BE5-C558-10CC-3E3AFD311B0A}"/>
            </a:ext>
          </a:extLst>
        </xdr:cNvPr>
        <xdr:cNvCxnSpPr/>
      </xdr:nvCxnSpPr>
      <xdr:spPr>
        <a:xfrm flipV="1">
          <a:off x="19973925" y="1981200"/>
          <a:ext cx="4419600" cy="1876425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209549</xdr:colOff>
      <xdr:row>21</xdr:row>
      <xdr:rowOff>285749</xdr:rowOff>
    </xdr:from>
    <xdr:to>
      <xdr:col>49</xdr:col>
      <xdr:colOff>590552</xdr:colOff>
      <xdr:row>23</xdr:row>
      <xdr:rowOff>171453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D4A5C53-C9DC-F9AE-57F0-1450AAB3402B}"/>
            </a:ext>
          </a:extLst>
        </xdr:cNvPr>
        <xdr:cNvCxnSpPr/>
      </xdr:nvCxnSpPr>
      <xdr:spPr>
        <a:xfrm rot="16200000" flipH="1">
          <a:off x="28851224" y="4867274"/>
          <a:ext cx="495304" cy="381003"/>
        </a:xfrm>
        <a:prstGeom prst="bentConnector3">
          <a:avLst>
            <a:gd name="adj1" fmla="val 10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895350</xdr:colOff>
      <xdr:row>21</xdr:row>
      <xdr:rowOff>28575</xdr:rowOff>
    </xdr:from>
    <xdr:to>
      <xdr:col>49</xdr:col>
      <xdr:colOff>542928</xdr:colOff>
      <xdr:row>24</xdr:row>
      <xdr:rowOff>171453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FD5CDA85-C7DB-4576-96E1-3895F919D3E7}"/>
            </a:ext>
          </a:extLst>
        </xdr:cNvPr>
        <xdr:cNvCxnSpPr/>
      </xdr:nvCxnSpPr>
      <xdr:spPr>
        <a:xfrm>
          <a:off x="27708225" y="4552950"/>
          <a:ext cx="1533528" cy="1057278"/>
        </a:xfrm>
        <a:prstGeom prst="bentConnector3">
          <a:avLst>
            <a:gd name="adj1" fmla="val 311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981075</xdr:colOff>
      <xdr:row>22</xdr:row>
      <xdr:rowOff>0</xdr:rowOff>
    </xdr:from>
    <xdr:to>
      <xdr:col>49</xdr:col>
      <xdr:colOff>447678</xdr:colOff>
      <xdr:row>25</xdr:row>
      <xdr:rowOff>152403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4FF8BEE-B28B-4AA9-ABF1-801BBFCFEC8B}"/>
            </a:ext>
          </a:extLst>
        </xdr:cNvPr>
        <xdr:cNvCxnSpPr/>
      </xdr:nvCxnSpPr>
      <xdr:spPr>
        <a:xfrm>
          <a:off x="26631900" y="4829175"/>
          <a:ext cx="2514603" cy="1066803"/>
        </a:xfrm>
        <a:prstGeom prst="bentConnector3">
          <a:avLst>
            <a:gd name="adj1" fmla="val 6439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19050</xdr:colOff>
      <xdr:row>21</xdr:row>
      <xdr:rowOff>28575</xdr:rowOff>
    </xdr:from>
    <xdr:to>
      <xdr:col>47</xdr:col>
      <xdr:colOff>1123950</xdr:colOff>
      <xdr:row>21</xdr:row>
      <xdr:rowOff>295275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3B44F0C-651D-2124-51CB-59273EDC33DE}"/>
            </a:ext>
          </a:extLst>
        </xdr:cNvPr>
        <xdr:cNvSpPr/>
      </xdr:nvSpPr>
      <xdr:spPr>
        <a:xfrm>
          <a:off x="25669875" y="4552950"/>
          <a:ext cx="2266950" cy="266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45</xdr:col>
      <xdr:colOff>104775</xdr:colOff>
      <xdr:row>13</xdr:row>
      <xdr:rowOff>57150</xdr:rowOff>
    </xdr:from>
    <xdr:to>
      <xdr:col>45</xdr:col>
      <xdr:colOff>114300</xdr:colOff>
      <xdr:row>14</xdr:row>
      <xdr:rowOff>219075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A2EB2B8F-966C-6CA3-25FF-BA2DF807ED34}"/>
            </a:ext>
          </a:extLst>
        </xdr:cNvPr>
        <xdr:cNvCxnSpPr/>
      </xdr:nvCxnSpPr>
      <xdr:spPr>
        <a:xfrm>
          <a:off x="24631650" y="2819400"/>
          <a:ext cx="9525" cy="2762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600075</xdr:colOff>
      <xdr:row>5</xdr:row>
      <xdr:rowOff>0</xdr:rowOff>
    </xdr:from>
    <xdr:to>
      <xdr:col>25</xdr:col>
      <xdr:colOff>528913</xdr:colOff>
      <xdr:row>9</xdr:row>
      <xdr:rowOff>18036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6ECE55-5180-4E49-B7B6-1022EE60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2625" y="504825"/>
          <a:ext cx="1386163" cy="780036"/>
        </a:xfrm>
        <a:prstGeom prst="rect">
          <a:avLst/>
        </a:prstGeom>
      </xdr:spPr>
    </xdr:pic>
    <xdr:clientData/>
  </xdr:twoCellAnchor>
  <xdr:twoCellAnchor>
    <xdr:from>
      <xdr:col>22</xdr:col>
      <xdr:colOff>224118</xdr:colOff>
      <xdr:row>12</xdr:row>
      <xdr:rowOff>171447</xdr:rowOff>
    </xdr:from>
    <xdr:to>
      <xdr:col>23</xdr:col>
      <xdr:colOff>581026</xdr:colOff>
      <xdr:row>22</xdr:row>
      <xdr:rowOff>156880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EBEF640-B663-492B-A64E-CFBF791A7CAD}"/>
            </a:ext>
          </a:extLst>
        </xdr:cNvPr>
        <xdr:cNvSpPr/>
      </xdr:nvSpPr>
      <xdr:spPr>
        <a:xfrm>
          <a:off x="20708471" y="1919565"/>
          <a:ext cx="648261" cy="21145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twoCellAnchor>
    <xdr:from>
      <xdr:col>24</xdr:col>
      <xdr:colOff>8405</xdr:colOff>
      <xdr:row>10</xdr:row>
      <xdr:rowOff>56589</xdr:rowOff>
    </xdr:from>
    <xdr:to>
      <xdr:col>32</xdr:col>
      <xdr:colOff>213059</xdr:colOff>
      <xdr:row>12</xdr:row>
      <xdr:rowOff>170889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0F70B87-387E-4ED4-8C1F-8EFD134F28C1}"/>
            </a:ext>
            <a:ext uri="{147F2762-F138-4A5C-976F-8EAC2B608ADB}">
              <a16:predDERef xmlns:a16="http://schemas.microsoft.com/office/drawing/2014/main" pred="{F0131444-B0A8-A7A9-F5CE-638AF88C1CA4}"/>
            </a:ext>
          </a:extLst>
        </xdr:cNvPr>
        <xdr:cNvGrpSpPr/>
      </xdr:nvGrpSpPr>
      <xdr:grpSpPr>
        <a:xfrm>
          <a:off x="11808199" y="1995207"/>
          <a:ext cx="10850242" cy="495300"/>
          <a:chOff x="1171736" y="7408232"/>
          <a:chExt cx="8100392" cy="495300"/>
        </a:xfrm>
      </xdr:grpSpPr>
      <xdr:sp macro="" textlink="">
        <xdr:nvSpPr>
          <xdr:cNvPr id="5" name="Rectangle: Top Corners One Rounded and One Snipped 4">
            <a:extLst>
              <a:ext uri="{FF2B5EF4-FFF2-40B4-BE49-F238E27FC236}">
                <a16:creationId xmlns:a16="http://schemas.microsoft.com/office/drawing/2014/main" id="{6558AF46-27AA-D599-AB97-8FF8519CA117}"/>
              </a:ext>
            </a:extLst>
          </xdr:cNvPr>
          <xdr:cNvSpPr/>
        </xdr:nvSpPr>
        <xdr:spPr>
          <a:xfrm>
            <a:off x="1171736" y="7408232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Dokumen Syarat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6" name="Rectangle: Top Corners One Rounded and One Snipped 5">
            <a:extLst>
              <a:ext uri="{FF2B5EF4-FFF2-40B4-BE49-F238E27FC236}">
                <a16:creationId xmlns:a16="http://schemas.microsoft.com/office/drawing/2014/main" id="{27A48305-443E-B0F8-2928-63BEF0B645CE}"/>
              </a:ext>
            </a:extLst>
          </xdr:cNvPr>
          <xdr:cNvSpPr/>
        </xdr:nvSpPr>
        <xdr:spPr>
          <a:xfrm>
            <a:off x="3222507" y="7417757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One Rounded and One Snipped 6">
            <a:extLst>
              <a:ext uri="{FF2B5EF4-FFF2-40B4-BE49-F238E27FC236}">
                <a16:creationId xmlns:a16="http://schemas.microsoft.com/office/drawing/2014/main" id="{A0FE9B74-0CB2-72A2-CE4B-527612021B59}"/>
              </a:ext>
            </a:extLst>
          </xdr:cNvPr>
          <xdr:cNvSpPr/>
        </xdr:nvSpPr>
        <xdr:spPr>
          <a:xfrm>
            <a:off x="5258968" y="7420478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One Rounded and One Snipped 7">
            <a:extLst>
              <a:ext uri="{FF2B5EF4-FFF2-40B4-BE49-F238E27FC236}">
                <a16:creationId xmlns:a16="http://schemas.microsoft.com/office/drawing/2014/main" id="{4F870D49-6ED0-16D7-4C42-376EDF0FE7B9}"/>
              </a:ext>
            </a:extLst>
          </xdr:cNvPr>
          <xdr:cNvSpPr/>
        </xdr:nvSpPr>
        <xdr:spPr>
          <a:xfrm>
            <a:off x="7297555" y="7427282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22</xdr:col>
      <xdr:colOff>274543</xdr:colOff>
      <xdr:row>48</xdr:row>
      <xdr:rowOff>561</xdr:rowOff>
    </xdr:from>
    <xdr:ext cx="1171014" cy="659674"/>
    <xdr:pic>
      <xdr:nvPicPr>
        <xdr:cNvPr id="11" name="Picture 10">
          <a:extLst>
            <a:ext uri="{FF2B5EF4-FFF2-40B4-BE49-F238E27FC236}">
              <a16:creationId xmlns:a16="http://schemas.microsoft.com/office/drawing/2014/main" id="{F265CF13-53BA-4FCD-BDDB-CA0B363A8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58896" y="10444443"/>
          <a:ext cx="1171014" cy="659674"/>
        </a:xfrm>
        <a:prstGeom prst="rect">
          <a:avLst/>
        </a:prstGeom>
      </xdr:spPr>
    </xdr:pic>
    <xdr:clientData/>
  </xdr:oneCellAnchor>
  <xdr:twoCellAnchor>
    <xdr:from>
      <xdr:col>23</xdr:col>
      <xdr:colOff>568577</xdr:colOff>
      <xdr:row>51</xdr:row>
      <xdr:rowOff>106650</xdr:rowOff>
    </xdr:from>
    <xdr:to>
      <xdr:col>32</xdr:col>
      <xdr:colOff>86870</xdr:colOff>
      <xdr:row>53</xdr:row>
      <xdr:rowOff>158561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73EAB19B-5D63-458A-A197-138EB9896938}"/>
            </a:ext>
          </a:extLst>
        </xdr:cNvPr>
        <xdr:cNvGrpSpPr/>
      </xdr:nvGrpSpPr>
      <xdr:grpSpPr>
        <a:xfrm>
          <a:off x="11763253" y="11637503"/>
          <a:ext cx="10768999" cy="500146"/>
          <a:chOff x="1093304" y="7339227"/>
          <a:chExt cx="8100392" cy="495300"/>
        </a:xfrm>
      </xdr:grpSpPr>
      <xdr:sp macro="" textlink="">
        <xdr:nvSpPr>
          <xdr:cNvPr id="14" name="Rectangle: Top Corners One Rounded and One Snipped 13">
            <a:extLst>
              <a:ext uri="{FF2B5EF4-FFF2-40B4-BE49-F238E27FC236}">
                <a16:creationId xmlns:a16="http://schemas.microsoft.com/office/drawing/2014/main" id="{D46FBE0F-6563-A009-5A6F-4369ABD628DB}"/>
              </a:ext>
            </a:extLst>
          </xdr:cNvPr>
          <xdr:cNvSpPr/>
        </xdr:nvSpPr>
        <xdr:spPr>
          <a:xfrm>
            <a:off x="1093304" y="7339227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Dokumen Syarat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Rectangle: Top Corners One Rounded and One Snipped 14">
            <a:extLst>
              <a:ext uri="{FF2B5EF4-FFF2-40B4-BE49-F238E27FC236}">
                <a16:creationId xmlns:a16="http://schemas.microsoft.com/office/drawing/2014/main" id="{496043B1-966C-F71E-E8DA-E88E9BA27F21}"/>
              </a:ext>
            </a:extLst>
          </xdr:cNvPr>
          <xdr:cNvSpPr/>
        </xdr:nvSpPr>
        <xdr:spPr>
          <a:xfrm>
            <a:off x="3144076" y="7348751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" name="Rectangle: Top Corners One Rounded and One Snipped 15">
            <a:extLst>
              <a:ext uri="{FF2B5EF4-FFF2-40B4-BE49-F238E27FC236}">
                <a16:creationId xmlns:a16="http://schemas.microsoft.com/office/drawing/2014/main" id="{1AD39E8A-C257-0B83-2CF9-14A40CEA2159}"/>
              </a:ext>
            </a:extLst>
          </xdr:cNvPr>
          <xdr:cNvSpPr/>
        </xdr:nvSpPr>
        <xdr:spPr>
          <a:xfrm>
            <a:off x="5180536" y="7351472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Rectangle: Top Corners One Rounded and One Snipped 16">
            <a:extLst>
              <a:ext uri="{FF2B5EF4-FFF2-40B4-BE49-F238E27FC236}">
                <a16:creationId xmlns:a16="http://schemas.microsoft.com/office/drawing/2014/main" id="{B8A5276C-4A09-CA34-7F27-172D51EC1A72}"/>
              </a:ext>
            </a:extLst>
          </xdr:cNvPr>
          <xdr:cNvSpPr/>
        </xdr:nvSpPr>
        <xdr:spPr>
          <a:xfrm>
            <a:off x="7219123" y="7358277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2</xdr:col>
      <xdr:colOff>143071</xdr:colOff>
      <xdr:row>4</xdr:row>
      <xdr:rowOff>259684</xdr:rowOff>
    </xdr:from>
    <xdr:ext cx="1396126" cy="783366"/>
    <xdr:pic>
      <xdr:nvPicPr>
        <xdr:cNvPr id="65" name="Picture 64">
          <a:extLst>
            <a:ext uri="{FF2B5EF4-FFF2-40B4-BE49-F238E27FC236}">
              <a16:creationId xmlns:a16="http://schemas.microsoft.com/office/drawing/2014/main" id="{18ECD153-39D9-405F-A5F4-F3AD4892F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571" y="450184"/>
          <a:ext cx="1396126" cy="783366"/>
        </a:xfrm>
        <a:prstGeom prst="rect">
          <a:avLst/>
        </a:prstGeom>
      </xdr:spPr>
    </xdr:pic>
    <xdr:clientData/>
  </xdr:oneCellAnchor>
  <xdr:twoCellAnchor>
    <xdr:from>
      <xdr:col>17</xdr:col>
      <xdr:colOff>28419</xdr:colOff>
      <xdr:row>10</xdr:row>
      <xdr:rowOff>63357</xdr:rowOff>
    </xdr:from>
    <xdr:to>
      <xdr:col>19</xdr:col>
      <xdr:colOff>9055</xdr:colOff>
      <xdr:row>12</xdr:row>
      <xdr:rowOff>158607</xdr:rowOff>
    </xdr:to>
    <xdr:sp macro="" textlink="">
      <xdr:nvSpPr>
        <xdr:cNvPr id="66" name="Rectangle: Top Corners One Rounded and One Snipped 65">
          <a:extLst>
            <a:ext uri="{FF2B5EF4-FFF2-40B4-BE49-F238E27FC236}">
              <a16:creationId xmlns:a16="http://schemas.microsoft.com/office/drawing/2014/main" id="{99FD9D3B-992C-4F25-9549-89D1F8BDCE57}"/>
            </a:ext>
          </a:extLst>
        </xdr:cNvPr>
        <xdr:cNvSpPr/>
      </xdr:nvSpPr>
      <xdr:spPr>
        <a:xfrm>
          <a:off x="17733713" y="1430475"/>
          <a:ext cx="170634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758289</xdr:colOff>
      <xdr:row>10</xdr:row>
      <xdr:rowOff>55718</xdr:rowOff>
    </xdr:from>
    <xdr:to>
      <xdr:col>9</xdr:col>
      <xdr:colOff>750794</xdr:colOff>
      <xdr:row>12</xdr:row>
      <xdr:rowOff>149430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E49CB2AC-27A4-4FFB-BFEC-81D6F494451C}"/>
            </a:ext>
          </a:extLst>
        </xdr:cNvPr>
        <xdr:cNvGrpSpPr/>
      </xdr:nvGrpSpPr>
      <xdr:grpSpPr>
        <a:xfrm>
          <a:off x="1273760" y="1994336"/>
          <a:ext cx="3309446" cy="474712"/>
          <a:chOff x="14047281" y="1355168"/>
          <a:chExt cx="3543952" cy="486295"/>
        </a:xfrm>
      </xdr:grpSpPr>
      <xdr:sp macro="" textlink="">
        <xdr:nvSpPr>
          <xdr:cNvPr id="68" name="Rectangle: Top Corners One Rounded and One Snipped 67">
            <a:extLst>
              <a:ext uri="{FF2B5EF4-FFF2-40B4-BE49-F238E27FC236}">
                <a16:creationId xmlns:a16="http://schemas.microsoft.com/office/drawing/2014/main" id="{F11AB477-12B7-E44F-3706-BE7B091E2B57}"/>
              </a:ext>
            </a:extLst>
          </xdr:cNvPr>
          <xdr:cNvSpPr/>
        </xdr:nvSpPr>
        <xdr:spPr>
          <a:xfrm>
            <a:off x="14047281" y="1355168"/>
            <a:ext cx="1754562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9" name="Rectangle: Top Corners One Rounded and One Snipped 68">
            <a:extLst>
              <a:ext uri="{FF2B5EF4-FFF2-40B4-BE49-F238E27FC236}">
                <a16:creationId xmlns:a16="http://schemas.microsoft.com/office/drawing/2014/main" id="{1AD23168-A4C1-4B71-39F0-F0ADD4FE3616}"/>
              </a:ext>
            </a:extLst>
          </xdr:cNvPr>
          <xdr:cNvSpPr/>
        </xdr:nvSpPr>
        <xdr:spPr>
          <a:xfrm>
            <a:off x="15902616" y="1365213"/>
            <a:ext cx="1688617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13</xdr:col>
      <xdr:colOff>415279</xdr:colOff>
      <xdr:row>10</xdr:row>
      <xdr:rowOff>61892</xdr:rowOff>
    </xdr:from>
    <xdr:to>
      <xdr:col>17</xdr:col>
      <xdr:colOff>7589</xdr:colOff>
      <xdr:row>12</xdr:row>
      <xdr:rowOff>157142</xdr:rowOff>
    </xdr:to>
    <xdr:sp macro="" textlink="">
      <xdr:nvSpPr>
        <xdr:cNvPr id="70" name="Rectangle: Top Corners One Rounded and One Snipped 69">
          <a:extLst>
            <a:ext uri="{FF2B5EF4-FFF2-40B4-BE49-F238E27FC236}">
              <a16:creationId xmlns:a16="http://schemas.microsoft.com/office/drawing/2014/main" id="{D84D4F78-DCE8-4DEA-AE18-01D2EBA39953}"/>
            </a:ext>
          </a:extLst>
        </xdr:cNvPr>
        <xdr:cNvSpPr/>
      </xdr:nvSpPr>
      <xdr:spPr>
        <a:xfrm>
          <a:off x="16013867" y="1429010"/>
          <a:ext cx="1699016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853430</xdr:colOff>
      <xdr:row>10</xdr:row>
      <xdr:rowOff>60426</xdr:rowOff>
    </xdr:from>
    <xdr:to>
      <xdr:col>13</xdr:col>
      <xdr:colOff>379797</xdr:colOff>
      <xdr:row>12</xdr:row>
      <xdr:rowOff>155676</xdr:rowOff>
    </xdr:to>
    <xdr:sp macro="" textlink="">
      <xdr:nvSpPr>
        <xdr:cNvPr id="71" name="Rectangle: Top Corners One Rounded and One Snipped 70">
          <a:extLst>
            <a:ext uri="{FF2B5EF4-FFF2-40B4-BE49-F238E27FC236}">
              <a16:creationId xmlns:a16="http://schemas.microsoft.com/office/drawing/2014/main" id="{708FBFCC-781B-4ECA-B3B3-BAB7DCEEBE1B}"/>
            </a:ext>
          </a:extLst>
        </xdr:cNvPr>
        <xdr:cNvSpPr/>
      </xdr:nvSpPr>
      <xdr:spPr>
        <a:xfrm>
          <a:off x="14266871" y="1427544"/>
          <a:ext cx="1711514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392205</xdr:colOff>
      <xdr:row>12</xdr:row>
      <xdr:rowOff>155708</xdr:rowOff>
    </xdr:from>
    <xdr:to>
      <xdr:col>3</xdr:col>
      <xdr:colOff>2644</xdr:colOff>
      <xdr:row>20</xdr:row>
      <xdr:rowOff>33617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8295EF56-9254-456E-ABCD-28B13410FAB8}"/>
            </a:ext>
          </a:extLst>
        </xdr:cNvPr>
        <xdr:cNvSpPr/>
      </xdr:nvSpPr>
      <xdr:spPr>
        <a:xfrm>
          <a:off x="10488705" y="1903826"/>
          <a:ext cx="372439" cy="14803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SEWA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V</a:t>
          </a:r>
          <a:endParaRPr lang="en-ID" sz="1200">
            <a:effectLst/>
          </a:endParaRPr>
        </a:p>
      </xdr:txBody>
    </xdr:sp>
    <xdr:clientData/>
  </xdr:twoCellAnchor>
  <xdr:twoCellAnchor>
    <xdr:from>
      <xdr:col>4</xdr:col>
      <xdr:colOff>73270</xdr:colOff>
      <xdr:row>22</xdr:row>
      <xdr:rowOff>36635</xdr:rowOff>
    </xdr:from>
    <xdr:to>
      <xdr:col>4</xdr:col>
      <xdr:colOff>190501</xdr:colOff>
      <xdr:row>22</xdr:row>
      <xdr:rowOff>153866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3C0A8EDB-95A5-42F4-A47C-7738986BAF7A}"/>
            </a:ext>
          </a:extLst>
        </xdr:cNvPr>
        <xdr:cNvSpPr/>
      </xdr:nvSpPr>
      <xdr:spPr>
        <a:xfrm>
          <a:off x="11284195" y="1916283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21</xdr:row>
      <xdr:rowOff>65941</xdr:rowOff>
    </xdr:from>
    <xdr:to>
      <xdr:col>4</xdr:col>
      <xdr:colOff>190500</xdr:colOff>
      <xdr:row>21</xdr:row>
      <xdr:rowOff>183172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A1F91E1-CE89-445D-BF2B-C883D5393CB5}"/>
            </a:ext>
          </a:extLst>
        </xdr:cNvPr>
        <xdr:cNvSpPr/>
      </xdr:nvSpPr>
      <xdr:spPr>
        <a:xfrm>
          <a:off x="11284194" y="18992116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65943</xdr:colOff>
      <xdr:row>16</xdr:row>
      <xdr:rowOff>36634</xdr:rowOff>
    </xdr:from>
    <xdr:to>
      <xdr:col>4</xdr:col>
      <xdr:colOff>183174</xdr:colOff>
      <xdr:row>16</xdr:row>
      <xdr:rowOff>153865</xdr:rowOff>
    </xdr:to>
    <xdr:sp macro="" textlink="">
      <xdr:nvSpPr>
        <xdr:cNvPr id="96" name="Flowchart: Connector 95">
          <a:extLst>
            <a:ext uri="{FF2B5EF4-FFF2-40B4-BE49-F238E27FC236}">
              <a16:creationId xmlns:a16="http://schemas.microsoft.com/office/drawing/2014/main" id="{6251F624-892F-463B-9470-489436BC3084}"/>
            </a:ext>
          </a:extLst>
        </xdr:cNvPr>
        <xdr:cNvSpPr/>
      </xdr:nvSpPr>
      <xdr:spPr>
        <a:xfrm>
          <a:off x="11276868" y="1676253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65943</xdr:colOff>
      <xdr:row>17</xdr:row>
      <xdr:rowOff>36634</xdr:rowOff>
    </xdr:from>
    <xdr:to>
      <xdr:col>4</xdr:col>
      <xdr:colOff>183174</xdr:colOff>
      <xdr:row>17</xdr:row>
      <xdr:rowOff>153865</xdr:rowOff>
    </xdr:to>
    <xdr:sp macro="" textlink="">
      <xdr:nvSpPr>
        <xdr:cNvPr id="97" name="Flowchart: Connector 96">
          <a:extLst>
            <a:ext uri="{FF2B5EF4-FFF2-40B4-BE49-F238E27FC236}">
              <a16:creationId xmlns:a16="http://schemas.microsoft.com/office/drawing/2014/main" id="{7174D99F-BFAC-4E1F-AC05-9CBBA0B9F4AB}"/>
            </a:ext>
          </a:extLst>
        </xdr:cNvPr>
        <xdr:cNvSpPr/>
      </xdr:nvSpPr>
      <xdr:spPr>
        <a:xfrm>
          <a:off x="11276868" y="1696255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63744</xdr:colOff>
      <xdr:row>16</xdr:row>
      <xdr:rowOff>38099</xdr:rowOff>
    </xdr:from>
    <xdr:to>
      <xdr:col>4</xdr:col>
      <xdr:colOff>171450</xdr:colOff>
      <xdr:row>16</xdr:row>
      <xdr:rowOff>152400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E9D1E5A3-274A-4871-8671-E7C4222775D3}"/>
            </a:ext>
          </a:extLst>
        </xdr:cNvPr>
        <xdr:cNvSpPr/>
      </xdr:nvSpPr>
      <xdr:spPr>
        <a:xfrm>
          <a:off x="11274669" y="16763999"/>
          <a:ext cx="107706" cy="11430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30</xdr:row>
      <xdr:rowOff>36635</xdr:rowOff>
    </xdr:from>
    <xdr:to>
      <xdr:col>4</xdr:col>
      <xdr:colOff>190501</xdr:colOff>
      <xdr:row>30</xdr:row>
      <xdr:rowOff>153866</xdr:rowOff>
    </xdr:to>
    <xdr:sp macro="" textlink="">
      <xdr:nvSpPr>
        <xdr:cNvPr id="99" name="Flowchart: Connector 98">
          <a:extLst>
            <a:ext uri="{FF2B5EF4-FFF2-40B4-BE49-F238E27FC236}">
              <a16:creationId xmlns:a16="http://schemas.microsoft.com/office/drawing/2014/main" id="{805F76AE-780F-4F4F-B507-E50E5D3DF620}"/>
            </a:ext>
          </a:extLst>
        </xdr:cNvPr>
        <xdr:cNvSpPr/>
      </xdr:nvSpPr>
      <xdr:spPr>
        <a:xfrm>
          <a:off x="11284195" y="2036298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29</xdr:row>
      <xdr:rowOff>65941</xdr:rowOff>
    </xdr:from>
    <xdr:to>
      <xdr:col>4</xdr:col>
      <xdr:colOff>190500</xdr:colOff>
      <xdr:row>29</xdr:row>
      <xdr:rowOff>183172</xdr:rowOff>
    </xdr:to>
    <xdr:sp macro="" textlink="">
      <xdr:nvSpPr>
        <xdr:cNvPr id="100" name="Flowchart: Connector 99">
          <a:extLst>
            <a:ext uri="{FF2B5EF4-FFF2-40B4-BE49-F238E27FC236}">
              <a16:creationId xmlns:a16="http://schemas.microsoft.com/office/drawing/2014/main" id="{CDD40CD6-4C61-4A74-AD17-7923D748ACFD}"/>
            </a:ext>
          </a:extLst>
        </xdr:cNvPr>
        <xdr:cNvSpPr/>
      </xdr:nvSpPr>
      <xdr:spPr>
        <a:xfrm>
          <a:off x="11284194" y="20192266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26</xdr:row>
      <xdr:rowOff>36635</xdr:rowOff>
    </xdr:from>
    <xdr:to>
      <xdr:col>4</xdr:col>
      <xdr:colOff>190501</xdr:colOff>
      <xdr:row>26</xdr:row>
      <xdr:rowOff>153866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3145985F-1550-4DA2-A409-B7EB2ABEB852}"/>
            </a:ext>
          </a:extLst>
        </xdr:cNvPr>
        <xdr:cNvSpPr/>
      </xdr:nvSpPr>
      <xdr:spPr>
        <a:xfrm>
          <a:off x="11088652" y="6233488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25</xdr:row>
      <xdr:rowOff>65941</xdr:rowOff>
    </xdr:from>
    <xdr:to>
      <xdr:col>4</xdr:col>
      <xdr:colOff>190500</xdr:colOff>
      <xdr:row>25</xdr:row>
      <xdr:rowOff>183172</xdr:rowOff>
    </xdr:to>
    <xdr:sp macro="" textlink="">
      <xdr:nvSpPr>
        <xdr:cNvPr id="108" name="Flowchart: Connector 107">
          <a:extLst>
            <a:ext uri="{FF2B5EF4-FFF2-40B4-BE49-F238E27FC236}">
              <a16:creationId xmlns:a16="http://schemas.microsoft.com/office/drawing/2014/main" id="{3BF2BBF2-8240-4D93-ACDF-C9DB0AD46699}"/>
            </a:ext>
          </a:extLst>
        </xdr:cNvPr>
        <xdr:cNvSpPr/>
      </xdr:nvSpPr>
      <xdr:spPr>
        <a:xfrm>
          <a:off x="11088651" y="6016265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22</xdr:col>
      <xdr:colOff>212911</xdr:colOff>
      <xdr:row>53</xdr:row>
      <xdr:rowOff>212913</xdr:rowOff>
    </xdr:from>
    <xdr:to>
      <xdr:col>23</xdr:col>
      <xdr:colOff>569819</xdr:colOff>
      <xdr:row>63</xdr:row>
      <xdr:rowOff>220757</xdr:rowOff>
    </xdr:to>
    <xdr:sp macro="" textlink="">
      <xdr:nvSpPr>
        <xdr:cNvPr id="110" name="Rectangle: Rounded Corners 109">
          <a:extLst>
            <a:ext uri="{FF2B5EF4-FFF2-40B4-BE49-F238E27FC236}">
              <a16:creationId xmlns:a16="http://schemas.microsoft.com/office/drawing/2014/main" id="{8AF9A7BC-CE00-479E-BD62-5130227B702C}"/>
            </a:ext>
          </a:extLst>
        </xdr:cNvPr>
        <xdr:cNvSpPr/>
      </xdr:nvSpPr>
      <xdr:spPr>
        <a:xfrm>
          <a:off x="20697264" y="11900648"/>
          <a:ext cx="648261" cy="2226609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twoCellAnchor editAs="oneCell">
    <xdr:from>
      <xdr:col>28</xdr:col>
      <xdr:colOff>33618</xdr:colOff>
      <xdr:row>62</xdr:row>
      <xdr:rowOff>11206</xdr:rowOff>
    </xdr:from>
    <xdr:to>
      <xdr:col>29</xdr:col>
      <xdr:colOff>694766</xdr:colOff>
      <xdr:row>63</xdr:row>
      <xdr:rowOff>60341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2904E4D-6B98-8037-833E-AC357034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64765" y="13570324"/>
          <a:ext cx="2218765" cy="28445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78</xdr:row>
      <xdr:rowOff>0</xdr:rowOff>
    </xdr:from>
    <xdr:to>
      <xdr:col>29</xdr:col>
      <xdr:colOff>296171</xdr:colOff>
      <xdr:row>82</xdr:row>
      <xdr:rowOff>89647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6D6085F9-E8AA-16C3-09BE-67336D498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27353" y="17570824"/>
          <a:ext cx="7557582" cy="896470"/>
        </a:xfrm>
        <a:prstGeom prst="rect">
          <a:avLst/>
        </a:prstGeom>
      </xdr:spPr>
    </xdr:pic>
    <xdr:clientData/>
  </xdr:twoCellAnchor>
  <xdr:twoCellAnchor editAs="oneCell">
    <xdr:from>
      <xdr:col>29</xdr:col>
      <xdr:colOff>280146</xdr:colOff>
      <xdr:row>78</xdr:row>
      <xdr:rowOff>0</xdr:rowOff>
    </xdr:from>
    <xdr:to>
      <xdr:col>30</xdr:col>
      <xdr:colOff>321807</xdr:colOff>
      <xdr:row>82</xdr:row>
      <xdr:rowOff>89647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72C1ABC-596F-64ED-2F08-7B215106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68911" y="17570824"/>
          <a:ext cx="770044" cy="896470"/>
        </a:xfrm>
        <a:prstGeom prst="rect">
          <a:avLst/>
        </a:prstGeom>
      </xdr:spPr>
    </xdr:pic>
    <xdr:clientData/>
  </xdr:twoCellAnchor>
  <xdr:twoCellAnchor editAs="oneCell">
    <xdr:from>
      <xdr:col>24</xdr:col>
      <xdr:colOff>224117</xdr:colOff>
      <xdr:row>86</xdr:row>
      <xdr:rowOff>11203</xdr:rowOff>
    </xdr:from>
    <xdr:to>
      <xdr:col>27</xdr:col>
      <xdr:colOff>1042146</xdr:colOff>
      <xdr:row>98</xdr:row>
      <xdr:rowOff>119260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A2D83C73-B347-D925-F0CE-BEB295467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04941" y="19195674"/>
          <a:ext cx="4370294" cy="2461292"/>
        </a:xfrm>
        <a:prstGeom prst="rect">
          <a:avLst/>
        </a:prstGeom>
      </xdr:spPr>
    </xdr:pic>
    <xdr:clientData/>
  </xdr:twoCellAnchor>
  <xdr:twoCellAnchor>
    <xdr:from>
      <xdr:col>4</xdr:col>
      <xdr:colOff>73270</xdr:colOff>
      <xdr:row>26</xdr:row>
      <xdr:rowOff>36635</xdr:rowOff>
    </xdr:from>
    <xdr:to>
      <xdr:col>4</xdr:col>
      <xdr:colOff>190501</xdr:colOff>
      <xdr:row>26</xdr:row>
      <xdr:rowOff>153866</xdr:rowOff>
    </xdr:to>
    <xdr:sp macro="" textlink="">
      <xdr:nvSpPr>
        <xdr:cNvPr id="115" name="Flowchart: Connector 114">
          <a:extLst>
            <a:ext uri="{FF2B5EF4-FFF2-40B4-BE49-F238E27FC236}">
              <a16:creationId xmlns:a16="http://schemas.microsoft.com/office/drawing/2014/main" id="{A1729E7C-013E-41C9-B065-47B74CEA7C9E}"/>
            </a:ext>
          </a:extLst>
        </xdr:cNvPr>
        <xdr:cNvSpPr/>
      </xdr:nvSpPr>
      <xdr:spPr>
        <a:xfrm>
          <a:off x="11088652" y="3913870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25</xdr:row>
      <xdr:rowOff>65941</xdr:rowOff>
    </xdr:from>
    <xdr:to>
      <xdr:col>4</xdr:col>
      <xdr:colOff>190500</xdr:colOff>
      <xdr:row>25</xdr:row>
      <xdr:rowOff>183172</xdr:rowOff>
    </xdr:to>
    <xdr:sp macro="" textlink="">
      <xdr:nvSpPr>
        <xdr:cNvPr id="116" name="Flowchart: Connector 115">
          <a:extLst>
            <a:ext uri="{FF2B5EF4-FFF2-40B4-BE49-F238E27FC236}">
              <a16:creationId xmlns:a16="http://schemas.microsoft.com/office/drawing/2014/main" id="{F9B4A8D2-9FE7-4761-9E39-635374B995C0}"/>
            </a:ext>
          </a:extLst>
        </xdr:cNvPr>
        <xdr:cNvSpPr/>
      </xdr:nvSpPr>
      <xdr:spPr>
        <a:xfrm>
          <a:off x="11088651" y="3663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34</xdr:row>
      <xdr:rowOff>36635</xdr:rowOff>
    </xdr:from>
    <xdr:to>
      <xdr:col>4</xdr:col>
      <xdr:colOff>190501</xdr:colOff>
      <xdr:row>34</xdr:row>
      <xdr:rowOff>153866</xdr:rowOff>
    </xdr:to>
    <xdr:sp macro="" textlink="">
      <xdr:nvSpPr>
        <xdr:cNvPr id="117" name="Flowchart: Connector 116">
          <a:extLst>
            <a:ext uri="{FF2B5EF4-FFF2-40B4-BE49-F238E27FC236}">
              <a16:creationId xmlns:a16="http://schemas.microsoft.com/office/drawing/2014/main" id="{9D5414D1-4B8E-4BD0-B4F9-FB8AC3875A61}"/>
            </a:ext>
          </a:extLst>
        </xdr:cNvPr>
        <xdr:cNvSpPr/>
      </xdr:nvSpPr>
      <xdr:spPr>
        <a:xfrm>
          <a:off x="11088652" y="7735076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33</xdr:row>
      <xdr:rowOff>65941</xdr:rowOff>
    </xdr:from>
    <xdr:to>
      <xdr:col>4</xdr:col>
      <xdr:colOff>190500</xdr:colOff>
      <xdr:row>33</xdr:row>
      <xdr:rowOff>183172</xdr:rowOff>
    </xdr:to>
    <xdr:sp macro="" textlink="">
      <xdr:nvSpPr>
        <xdr:cNvPr id="118" name="Flowchart: Connector 117">
          <a:extLst>
            <a:ext uri="{FF2B5EF4-FFF2-40B4-BE49-F238E27FC236}">
              <a16:creationId xmlns:a16="http://schemas.microsoft.com/office/drawing/2014/main" id="{359EE93E-7916-45BB-8E84-3041B9A6053B}"/>
            </a:ext>
          </a:extLst>
        </xdr:cNvPr>
        <xdr:cNvSpPr/>
      </xdr:nvSpPr>
      <xdr:spPr>
        <a:xfrm>
          <a:off x="11088651" y="61619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30</xdr:row>
      <xdr:rowOff>36635</xdr:rowOff>
    </xdr:from>
    <xdr:to>
      <xdr:col>4</xdr:col>
      <xdr:colOff>190501</xdr:colOff>
      <xdr:row>30</xdr:row>
      <xdr:rowOff>153866</xdr:rowOff>
    </xdr:to>
    <xdr:sp macro="" textlink="">
      <xdr:nvSpPr>
        <xdr:cNvPr id="119" name="Flowchart: Connector 118">
          <a:extLst>
            <a:ext uri="{FF2B5EF4-FFF2-40B4-BE49-F238E27FC236}">
              <a16:creationId xmlns:a16="http://schemas.microsoft.com/office/drawing/2014/main" id="{0D7464BB-DA9D-499D-8E19-561D955849BB}"/>
            </a:ext>
          </a:extLst>
        </xdr:cNvPr>
        <xdr:cNvSpPr/>
      </xdr:nvSpPr>
      <xdr:spPr>
        <a:xfrm>
          <a:off x="11088652" y="5090488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29</xdr:row>
      <xdr:rowOff>65941</xdr:rowOff>
    </xdr:from>
    <xdr:to>
      <xdr:col>4</xdr:col>
      <xdr:colOff>190500</xdr:colOff>
      <xdr:row>29</xdr:row>
      <xdr:rowOff>183172</xdr:rowOff>
    </xdr:to>
    <xdr:sp macro="" textlink="">
      <xdr:nvSpPr>
        <xdr:cNvPr id="120" name="Flowchart: Connector 119">
          <a:extLst>
            <a:ext uri="{FF2B5EF4-FFF2-40B4-BE49-F238E27FC236}">
              <a16:creationId xmlns:a16="http://schemas.microsoft.com/office/drawing/2014/main" id="{D2DE3B6F-9546-4B13-ADA0-A3B7A26EA2CE}"/>
            </a:ext>
          </a:extLst>
        </xdr:cNvPr>
        <xdr:cNvSpPr/>
      </xdr:nvSpPr>
      <xdr:spPr>
        <a:xfrm>
          <a:off x="11088651" y="480602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62</xdr:col>
      <xdr:colOff>600075</xdr:colOff>
      <xdr:row>5</xdr:row>
      <xdr:rowOff>0</xdr:rowOff>
    </xdr:from>
    <xdr:ext cx="1386163" cy="690389"/>
    <xdr:pic>
      <xdr:nvPicPr>
        <xdr:cNvPr id="121" name="Picture 120">
          <a:extLst>
            <a:ext uri="{FF2B5EF4-FFF2-40B4-BE49-F238E27FC236}">
              <a16:creationId xmlns:a16="http://schemas.microsoft.com/office/drawing/2014/main" id="{38AF99FB-220E-4C58-A161-D348A0395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074" y="504265"/>
          <a:ext cx="1386163" cy="690389"/>
        </a:xfrm>
        <a:prstGeom prst="rect">
          <a:avLst/>
        </a:prstGeom>
      </xdr:spPr>
    </xdr:pic>
    <xdr:clientData/>
  </xdr:oneCellAnchor>
  <xdr:twoCellAnchor>
    <xdr:from>
      <xdr:col>62</xdr:col>
      <xdr:colOff>224118</xdr:colOff>
      <xdr:row>12</xdr:row>
      <xdr:rowOff>171447</xdr:rowOff>
    </xdr:from>
    <xdr:to>
      <xdr:col>63</xdr:col>
      <xdr:colOff>581026</xdr:colOff>
      <xdr:row>22</xdr:row>
      <xdr:rowOff>156880</xdr:rowOff>
    </xdr:to>
    <xdr:sp macro="" textlink="">
      <xdr:nvSpPr>
        <xdr:cNvPr id="122" name="Rectangle: Rounded Corners 121">
          <a:extLst>
            <a:ext uri="{FF2B5EF4-FFF2-40B4-BE49-F238E27FC236}">
              <a16:creationId xmlns:a16="http://schemas.microsoft.com/office/drawing/2014/main" id="{8F4430A9-AF8A-4499-B91B-59C56A91C79E}"/>
            </a:ext>
          </a:extLst>
        </xdr:cNvPr>
        <xdr:cNvSpPr/>
      </xdr:nvSpPr>
      <xdr:spPr>
        <a:xfrm>
          <a:off x="11127442" y="1919565"/>
          <a:ext cx="648260" cy="21145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twoCellAnchor>
    <xdr:from>
      <xdr:col>64</xdr:col>
      <xdr:colOff>8405</xdr:colOff>
      <xdr:row>10</xdr:row>
      <xdr:rowOff>56589</xdr:rowOff>
    </xdr:from>
    <xdr:to>
      <xdr:col>72</xdr:col>
      <xdr:colOff>213059</xdr:colOff>
      <xdr:row>12</xdr:row>
      <xdr:rowOff>170889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D78BAF0C-6F36-4DD0-BE62-166161936ED9}"/>
            </a:ext>
            <a:ext uri="{147F2762-F138-4A5C-976F-8EAC2B608ADB}">
              <a16:predDERef xmlns:a16="http://schemas.microsoft.com/office/drawing/2014/main" pred="{F0131444-B0A8-A7A9-F5CE-638AF88C1CA4}"/>
            </a:ext>
          </a:extLst>
        </xdr:cNvPr>
        <xdr:cNvGrpSpPr/>
      </xdr:nvGrpSpPr>
      <xdr:grpSpPr>
        <a:xfrm>
          <a:off x="38758346" y="1995207"/>
          <a:ext cx="10850242" cy="495300"/>
          <a:chOff x="1171736" y="7408232"/>
          <a:chExt cx="8100392" cy="495300"/>
        </a:xfrm>
      </xdr:grpSpPr>
      <xdr:sp macro="" textlink="">
        <xdr:nvSpPr>
          <xdr:cNvPr id="124" name="Rectangle: Top Corners One Rounded and One Snipped 123">
            <a:extLst>
              <a:ext uri="{FF2B5EF4-FFF2-40B4-BE49-F238E27FC236}">
                <a16:creationId xmlns:a16="http://schemas.microsoft.com/office/drawing/2014/main" id="{0A8A2822-6A2F-B494-0E1D-F72543AA0740}"/>
              </a:ext>
            </a:extLst>
          </xdr:cNvPr>
          <xdr:cNvSpPr/>
        </xdr:nvSpPr>
        <xdr:spPr>
          <a:xfrm>
            <a:off x="1171736" y="7408232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Dokumen Syarat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125" name="Rectangle: Top Corners One Rounded and One Snipped 124">
            <a:extLst>
              <a:ext uri="{FF2B5EF4-FFF2-40B4-BE49-F238E27FC236}">
                <a16:creationId xmlns:a16="http://schemas.microsoft.com/office/drawing/2014/main" id="{C2FB6AA1-CED6-7547-2611-01C60817170E}"/>
              </a:ext>
            </a:extLst>
          </xdr:cNvPr>
          <xdr:cNvSpPr/>
        </xdr:nvSpPr>
        <xdr:spPr>
          <a:xfrm>
            <a:off x="3222507" y="7417757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6" name="Rectangle: Top Corners One Rounded and One Snipped 125">
            <a:extLst>
              <a:ext uri="{FF2B5EF4-FFF2-40B4-BE49-F238E27FC236}">
                <a16:creationId xmlns:a16="http://schemas.microsoft.com/office/drawing/2014/main" id="{F0A196DB-2C2C-C1DE-8238-BA8B60B3591C}"/>
              </a:ext>
            </a:extLst>
          </xdr:cNvPr>
          <xdr:cNvSpPr/>
        </xdr:nvSpPr>
        <xdr:spPr>
          <a:xfrm>
            <a:off x="5258968" y="7420478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7" name="Rectangle: Top Corners One Rounded and One Snipped 126">
            <a:extLst>
              <a:ext uri="{FF2B5EF4-FFF2-40B4-BE49-F238E27FC236}">
                <a16:creationId xmlns:a16="http://schemas.microsoft.com/office/drawing/2014/main" id="{87FB8255-30F5-9AAB-A2CD-9CB4CC9B3422}"/>
              </a:ext>
            </a:extLst>
          </xdr:cNvPr>
          <xdr:cNvSpPr/>
        </xdr:nvSpPr>
        <xdr:spPr>
          <a:xfrm>
            <a:off x="7297555" y="7427282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62</xdr:col>
      <xdr:colOff>274543</xdr:colOff>
      <xdr:row>48</xdr:row>
      <xdr:rowOff>561</xdr:rowOff>
    </xdr:from>
    <xdr:ext cx="1171014" cy="659674"/>
    <xdr:pic>
      <xdr:nvPicPr>
        <xdr:cNvPr id="128" name="Picture 127">
          <a:extLst>
            <a:ext uri="{FF2B5EF4-FFF2-40B4-BE49-F238E27FC236}">
              <a16:creationId xmlns:a16="http://schemas.microsoft.com/office/drawing/2014/main" id="{535539CA-4CCF-4CF0-8109-81F2974ED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7867" y="10612532"/>
          <a:ext cx="1171014" cy="659674"/>
        </a:xfrm>
        <a:prstGeom prst="rect">
          <a:avLst/>
        </a:prstGeom>
      </xdr:spPr>
    </xdr:pic>
    <xdr:clientData/>
  </xdr:oneCellAnchor>
  <xdr:twoCellAnchor>
    <xdr:from>
      <xdr:col>63</xdr:col>
      <xdr:colOff>568577</xdr:colOff>
      <xdr:row>51</xdr:row>
      <xdr:rowOff>106650</xdr:rowOff>
    </xdr:from>
    <xdr:to>
      <xdr:col>72</xdr:col>
      <xdr:colOff>86870</xdr:colOff>
      <xdr:row>53</xdr:row>
      <xdr:rowOff>158561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B6A9A11F-5441-4169-AE93-B75E003CF4F7}"/>
            </a:ext>
          </a:extLst>
        </xdr:cNvPr>
        <xdr:cNvGrpSpPr/>
      </xdr:nvGrpSpPr>
      <xdr:grpSpPr>
        <a:xfrm>
          <a:off x="38713401" y="11637503"/>
          <a:ext cx="10768998" cy="500146"/>
          <a:chOff x="1093304" y="7339227"/>
          <a:chExt cx="8100392" cy="495300"/>
        </a:xfrm>
      </xdr:grpSpPr>
      <xdr:sp macro="" textlink="">
        <xdr:nvSpPr>
          <xdr:cNvPr id="130" name="Rectangle: Top Corners One Rounded and One Snipped 129">
            <a:extLst>
              <a:ext uri="{FF2B5EF4-FFF2-40B4-BE49-F238E27FC236}">
                <a16:creationId xmlns:a16="http://schemas.microsoft.com/office/drawing/2014/main" id="{05800963-F03E-36D5-9C2D-CE704B5D7558}"/>
              </a:ext>
            </a:extLst>
          </xdr:cNvPr>
          <xdr:cNvSpPr/>
        </xdr:nvSpPr>
        <xdr:spPr>
          <a:xfrm>
            <a:off x="1093304" y="7339227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Dokumen Syarat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1" name="Rectangle: Top Corners One Rounded and One Snipped 130">
            <a:extLst>
              <a:ext uri="{FF2B5EF4-FFF2-40B4-BE49-F238E27FC236}">
                <a16:creationId xmlns:a16="http://schemas.microsoft.com/office/drawing/2014/main" id="{C030F5EC-DB28-2F0F-EE5E-92ED66F16ED3}"/>
              </a:ext>
            </a:extLst>
          </xdr:cNvPr>
          <xdr:cNvSpPr/>
        </xdr:nvSpPr>
        <xdr:spPr>
          <a:xfrm>
            <a:off x="3144076" y="7348751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2" name="Rectangle: Top Corners One Rounded and One Snipped 131">
            <a:extLst>
              <a:ext uri="{FF2B5EF4-FFF2-40B4-BE49-F238E27FC236}">
                <a16:creationId xmlns:a16="http://schemas.microsoft.com/office/drawing/2014/main" id="{428EC30A-3E8D-A29B-7324-7129515D58F3}"/>
              </a:ext>
            </a:extLst>
          </xdr:cNvPr>
          <xdr:cNvSpPr/>
        </xdr:nvSpPr>
        <xdr:spPr>
          <a:xfrm>
            <a:off x="5180536" y="7351472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3" name="Rectangle: Top Corners One Rounded and One Snipped 132">
            <a:extLst>
              <a:ext uri="{FF2B5EF4-FFF2-40B4-BE49-F238E27FC236}">
                <a16:creationId xmlns:a16="http://schemas.microsoft.com/office/drawing/2014/main" id="{80E363E5-8D82-B845-7C8F-1BF89EE8C056}"/>
              </a:ext>
            </a:extLst>
          </xdr:cNvPr>
          <xdr:cNvSpPr/>
        </xdr:nvSpPr>
        <xdr:spPr>
          <a:xfrm>
            <a:off x="7219123" y="7358277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42</xdr:col>
      <xdr:colOff>143071</xdr:colOff>
      <xdr:row>4</xdr:row>
      <xdr:rowOff>259684</xdr:rowOff>
    </xdr:from>
    <xdr:ext cx="1396126" cy="783366"/>
    <xdr:pic>
      <xdr:nvPicPr>
        <xdr:cNvPr id="134" name="Picture 133">
          <a:extLst>
            <a:ext uri="{FF2B5EF4-FFF2-40B4-BE49-F238E27FC236}">
              <a16:creationId xmlns:a16="http://schemas.microsoft.com/office/drawing/2014/main" id="{66C9BF0B-D049-41AE-8BB4-A13E632FB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542" y="450184"/>
          <a:ext cx="1396126" cy="783366"/>
        </a:xfrm>
        <a:prstGeom prst="rect">
          <a:avLst/>
        </a:prstGeom>
      </xdr:spPr>
    </xdr:pic>
    <xdr:clientData/>
  </xdr:oneCellAnchor>
  <xdr:twoCellAnchor>
    <xdr:from>
      <xdr:col>57</xdr:col>
      <xdr:colOff>28419</xdr:colOff>
      <xdr:row>10</xdr:row>
      <xdr:rowOff>63357</xdr:rowOff>
    </xdr:from>
    <xdr:to>
      <xdr:col>59</xdr:col>
      <xdr:colOff>9055</xdr:colOff>
      <xdr:row>12</xdr:row>
      <xdr:rowOff>158607</xdr:rowOff>
    </xdr:to>
    <xdr:sp macro="" textlink="">
      <xdr:nvSpPr>
        <xdr:cNvPr id="135" name="Rectangle: Top Corners One Rounded and One Snipped 134">
          <a:extLst>
            <a:ext uri="{FF2B5EF4-FFF2-40B4-BE49-F238E27FC236}">
              <a16:creationId xmlns:a16="http://schemas.microsoft.com/office/drawing/2014/main" id="{0534B090-B049-470D-92A1-CB9E1DD5D3F1}"/>
            </a:ext>
          </a:extLst>
        </xdr:cNvPr>
        <xdr:cNvSpPr/>
      </xdr:nvSpPr>
      <xdr:spPr>
        <a:xfrm>
          <a:off x="8152684" y="1430475"/>
          <a:ext cx="170634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771</xdr:colOff>
      <xdr:row>10</xdr:row>
      <xdr:rowOff>55718</xdr:rowOff>
    </xdr:from>
    <xdr:to>
      <xdr:col>49</xdr:col>
      <xdr:colOff>784412</xdr:colOff>
      <xdr:row>12</xdr:row>
      <xdr:rowOff>149430</xdr:rowOff>
    </xdr:to>
    <xdr:grpSp>
      <xdr:nvGrpSpPr>
        <xdr:cNvPr id="136" name="Group 135">
          <a:extLst>
            <a:ext uri="{FF2B5EF4-FFF2-40B4-BE49-F238E27FC236}">
              <a16:creationId xmlns:a16="http://schemas.microsoft.com/office/drawing/2014/main" id="{AD850821-FD41-49C9-A423-3E98F2EE4C2D}"/>
            </a:ext>
          </a:extLst>
        </xdr:cNvPr>
        <xdr:cNvGrpSpPr/>
      </xdr:nvGrpSpPr>
      <xdr:grpSpPr>
        <a:xfrm>
          <a:off x="28228389" y="1994336"/>
          <a:ext cx="3338582" cy="474712"/>
          <a:chOff x="14047281" y="1355168"/>
          <a:chExt cx="3543952" cy="486295"/>
        </a:xfrm>
      </xdr:grpSpPr>
      <xdr:sp macro="" textlink="">
        <xdr:nvSpPr>
          <xdr:cNvPr id="137" name="Rectangle: Top Corners One Rounded and One Snipped 136">
            <a:extLst>
              <a:ext uri="{FF2B5EF4-FFF2-40B4-BE49-F238E27FC236}">
                <a16:creationId xmlns:a16="http://schemas.microsoft.com/office/drawing/2014/main" id="{52FF6313-C827-8662-9465-907D80A3784D}"/>
              </a:ext>
            </a:extLst>
          </xdr:cNvPr>
          <xdr:cNvSpPr/>
        </xdr:nvSpPr>
        <xdr:spPr>
          <a:xfrm>
            <a:off x="14047281" y="1355168"/>
            <a:ext cx="1754562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8" name="Rectangle: Top Corners One Rounded and One Snipped 137">
            <a:extLst>
              <a:ext uri="{FF2B5EF4-FFF2-40B4-BE49-F238E27FC236}">
                <a16:creationId xmlns:a16="http://schemas.microsoft.com/office/drawing/2014/main" id="{C1FBF332-2301-2016-016D-F8BF1755455A}"/>
              </a:ext>
            </a:extLst>
          </xdr:cNvPr>
          <xdr:cNvSpPr/>
        </xdr:nvSpPr>
        <xdr:spPr>
          <a:xfrm>
            <a:off x="15902616" y="1365213"/>
            <a:ext cx="1688617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53</xdr:col>
      <xdr:colOff>415279</xdr:colOff>
      <xdr:row>10</xdr:row>
      <xdr:rowOff>61892</xdr:rowOff>
    </xdr:from>
    <xdr:to>
      <xdr:col>57</xdr:col>
      <xdr:colOff>7589</xdr:colOff>
      <xdr:row>12</xdr:row>
      <xdr:rowOff>157142</xdr:rowOff>
    </xdr:to>
    <xdr:sp macro="" textlink="">
      <xdr:nvSpPr>
        <xdr:cNvPr id="139" name="Rectangle: Top Corners One Rounded and One Snipped 138">
          <a:extLst>
            <a:ext uri="{FF2B5EF4-FFF2-40B4-BE49-F238E27FC236}">
              <a16:creationId xmlns:a16="http://schemas.microsoft.com/office/drawing/2014/main" id="{458A3EF3-7CAA-48AF-9DB6-DC3EC4C56671}"/>
            </a:ext>
          </a:extLst>
        </xdr:cNvPr>
        <xdr:cNvSpPr/>
      </xdr:nvSpPr>
      <xdr:spPr>
        <a:xfrm>
          <a:off x="6432838" y="1429010"/>
          <a:ext cx="1699016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853430</xdr:colOff>
      <xdr:row>10</xdr:row>
      <xdr:rowOff>60426</xdr:rowOff>
    </xdr:from>
    <xdr:to>
      <xdr:col>53</xdr:col>
      <xdr:colOff>379797</xdr:colOff>
      <xdr:row>12</xdr:row>
      <xdr:rowOff>155676</xdr:rowOff>
    </xdr:to>
    <xdr:sp macro="" textlink="">
      <xdr:nvSpPr>
        <xdr:cNvPr id="140" name="Rectangle: Top Corners One Rounded and One Snipped 139">
          <a:extLst>
            <a:ext uri="{FF2B5EF4-FFF2-40B4-BE49-F238E27FC236}">
              <a16:creationId xmlns:a16="http://schemas.microsoft.com/office/drawing/2014/main" id="{4FE08109-DEAE-4457-8029-BABEC121E238}"/>
            </a:ext>
          </a:extLst>
        </xdr:cNvPr>
        <xdr:cNvSpPr/>
      </xdr:nvSpPr>
      <xdr:spPr>
        <a:xfrm>
          <a:off x="4685842" y="1427544"/>
          <a:ext cx="1711514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392205</xdr:colOff>
      <xdr:row>12</xdr:row>
      <xdr:rowOff>155708</xdr:rowOff>
    </xdr:from>
    <xdr:to>
      <xdr:col>43</xdr:col>
      <xdr:colOff>2644</xdr:colOff>
      <xdr:row>20</xdr:row>
      <xdr:rowOff>33617</xdr:rowOff>
    </xdr:to>
    <xdr:sp macro="" textlink="">
      <xdr:nvSpPr>
        <xdr:cNvPr id="141" name="Rectangle: Rounded Corners 140">
          <a:extLst>
            <a:ext uri="{FF2B5EF4-FFF2-40B4-BE49-F238E27FC236}">
              <a16:creationId xmlns:a16="http://schemas.microsoft.com/office/drawing/2014/main" id="{D9AD57C6-92CE-42BD-B582-2A7BBAEEC79B}"/>
            </a:ext>
          </a:extLst>
        </xdr:cNvPr>
        <xdr:cNvSpPr/>
      </xdr:nvSpPr>
      <xdr:spPr>
        <a:xfrm>
          <a:off x="907676" y="1903826"/>
          <a:ext cx="372439" cy="14803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SEWA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V</a:t>
          </a:r>
          <a:endParaRPr lang="en-ID" sz="1200">
            <a:effectLst/>
          </a:endParaRPr>
        </a:p>
      </xdr:txBody>
    </xdr:sp>
    <xdr:clientData/>
  </xdr:twoCellAnchor>
  <xdr:twoCellAnchor>
    <xdr:from>
      <xdr:col>44</xdr:col>
      <xdr:colOff>73270</xdr:colOff>
      <xdr:row>22</xdr:row>
      <xdr:rowOff>36635</xdr:rowOff>
    </xdr:from>
    <xdr:to>
      <xdr:col>44</xdr:col>
      <xdr:colOff>190501</xdr:colOff>
      <xdr:row>22</xdr:row>
      <xdr:rowOff>153866</xdr:rowOff>
    </xdr:to>
    <xdr:sp macro="" textlink="">
      <xdr:nvSpPr>
        <xdr:cNvPr id="142" name="Flowchart: Connector 141">
          <a:extLst>
            <a:ext uri="{FF2B5EF4-FFF2-40B4-BE49-F238E27FC236}">
              <a16:creationId xmlns:a16="http://schemas.microsoft.com/office/drawing/2014/main" id="{EFF0735C-A6FF-4D75-868A-FD1B0547772D}"/>
            </a:ext>
          </a:extLst>
        </xdr:cNvPr>
        <xdr:cNvSpPr/>
      </xdr:nvSpPr>
      <xdr:spPr>
        <a:xfrm>
          <a:off x="1507623" y="3913870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44</xdr:col>
      <xdr:colOff>73269</xdr:colOff>
      <xdr:row>21</xdr:row>
      <xdr:rowOff>65941</xdr:rowOff>
    </xdr:from>
    <xdr:to>
      <xdr:col>44</xdr:col>
      <xdr:colOff>190500</xdr:colOff>
      <xdr:row>21</xdr:row>
      <xdr:rowOff>183172</xdr:rowOff>
    </xdr:to>
    <xdr:sp macro="" textlink="">
      <xdr:nvSpPr>
        <xdr:cNvPr id="143" name="Flowchart: Connector 142">
          <a:extLst>
            <a:ext uri="{FF2B5EF4-FFF2-40B4-BE49-F238E27FC236}">
              <a16:creationId xmlns:a16="http://schemas.microsoft.com/office/drawing/2014/main" id="{C851530C-5137-4D12-AE09-27E51CC2A59C}"/>
            </a:ext>
          </a:extLst>
        </xdr:cNvPr>
        <xdr:cNvSpPr/>
      </xdr:nvSpPr>
      <xdr:spPr>
        <a:xfrm>
          <a:off x="1507622" y="3663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65943</xdr:colOff>
      <xdr:row>16</xdr:row>
      <xdr:rowOff>36634</xdr:rowOff>
    </xdr:from>
    <xdr:to>
      <xdr:col>44</xdr:col>
      <xdr:colOff>183174</xdr:colOff>
      <xdr:row>16</xdr:row>
      <xdr:rowOff>153865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486AEC3E-6B60-4DC4-9FC6-11346DF849CB}"/>
            </a:ext>
          </a:extLst>
        </xdr:cNvPr>
        <xdr:cNvSpPr/>
      </xdr:nvSpPr>
      <xdr:spPr>
        <a:xfrm>
          <a:off x="1500296" y="264760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65943</xdr:colOff>
      <xdr:row>17</xdr:row>
      <xdr:rowOff>36634</xdr:rowOff>
    </xdr:from>
    <xdr:to>
      <xdr:col>44</xdr:col>
      <xdr:colOff>183174</xdr:colOff>
      <xdr:row>17</xdr:row>
      <xdr:rowOff>153865</xdr:rowOff>
    </xdr:to>
    <xdr:sp macro="" textlink="">
      <xdr:nvSpPr>
        <xdr:cNvPr id="145" name="Flowchart: Connector 144">
          <a:extLst>
            <a:ext uri="{FF2B5EF4-FFF2-40B4-BE49-F238E27FC236}">
              <a16:creationId xmlns:a16="http://schemas.microsoft.com/office/drawing/2014/main" id="{89DE86C0-E9D0-4698-9B17-01E464D26C1A}"/>
            </a:ext>
          </a:extLst>
        </xdr:cNvPr>
        <xdr:cNvSpPr/>
      </xdr:nvSpPr>
      <xdr:spPr>
        <a:xfrm>
          <a:off x="1500296" y="2838105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63744</xdr:colOff>
      <xdr:row>16</xdr:row>
      <xdr:rowOff>38099</xdr:rowOff>
    </xdr:from>
    <xdr:to>
      <xdr:col>44</xdr:col>
      <xdr:colOff>171450</xdr:colOff>
      <xdr:row>16</xdr:row>
      <xdr:rowOff>152400</xdr:rowOff>
    </xdr:to>
    <xdr:sp macro="" textlink="">
      <xdr:nvSpPr>
        <xdr:cNvPr id="146" name="Flowchart: Connector 145">
          <a:extLst>
            <a:ext uri="{FF2B5EF4-FFF2-40B4-BE49-F238E27FC236}">
              <a16:creationId xmlns:a16="http://schemas.microsoft.com/office/drawing/2014/main" id="{DD9EB9B3-61F2-4741-B7C5-327C21B9E95E}"/>
            </a:ext>
          </a:extLst>
        </xdr:cNvPr>
        <xdr:cNvSpPr/>
      </xdr:nvSpPr>
      <xdr:spPr>
        <a:xfrm>
          <a:off x="1498097" y="2649070"/>
          <a:ext cx="107706" cy="11430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73270</xdr:colOff>
      <xdr:row>30</xdr:row>
      <xdr:rowOff>36635</xdr:rowOff>
    </xdr:from>
    <xdr:to>
      <xdr:col>44</xdr:col>
      <xdr:colOff>190501</xdr:colOff>
      <xdr:row>30</xdr:row>
      <xdr:rowOff>153866</xdr:rowOff>
    </xdr:to>
    <xdr:sp macro="" textlink="">
      <xdr:nvSpPr>
        <xdr:cNvPr id="147" name="Flowchart: Connector 146">
          <a:extLst>
            <a:ext uri="{FF2B5EF4-FFF2-40B4-BE49-F238E27FC236}">
              <a16:creationId xmlns:a16="http://schemas.microsoft.com/office/drawing/2014/main" id="{ADEF23E9-29CD-4DEF-9848-EFDC71F0652E}"/>
            </a:ext>
          </a:extLst>
        </xdr:cNvPr>
        <xdr:cNvSpPr/>
      </xdr:nvSpPr>
      <xdr:spPr>
        <a:xfrm>
          <a:off x="1507623" y="637916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73269</xdr:colOff>
      <xdr:row>29</xdr:row>
      <xdr:rowOff>65941</xdr:rowOff>
    </xdr:from>
    <xdr:to>
      <xdr:col>44</xdr:col>
      <xdr:colOff>190500</xdr:colOff>
      <xdr:row>29</xdr:row>
      <xdr:rowOff>183172</xdr:rowOff>
    </xdr:to>
    <xdr:sp macro="" textlink="">
      <xdr:nvSpPr>
        <xdr:cNvPr id="148" name="Flowchart: Connector 147">
          <a:extLst>
            <a:ext uri="{FF2B5EF4-FFF2-40B4-BE49-F238E27FC236}">
              <a16:creationId xmlns:a16="http://schemas.microsoft.com/office/drawing/2014/main" id="{A5819E83-B9C4-41E5-98E5-5C5EDD92539C}"/>
            </a:ext>
          </a:extLst>
        </xdr:cNvPr>
        <xdr:cNvSpPr/>
      </xdr:nvSpPr>
      <xdr:spPr>
        <a:xfrm>
          <a:off x="1507622" y="61619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73270</xdr:colOff>
      <xdr:row>26</xdr:row>
      <xdr:rowOff>36635</xdr:rowOff>
    </xdr:from>
    <xdr:to>
      <xdr:col>44</xdr:col>
      <xdr:colOff>190501</xdr:colOff>
      <xdr:row>26</xdr:row>
      <xdr:rowOff>153866</xdr:rowOff>
    </xdr:to>
    <xdr:sp macro="" textlink="">
      <xdr:nvSpPr>
        <xdr:cNvPr id="149" name="Flowchart: Connector 148">
          <a:extLst>
            <a:ext uri="{FF2B5EF4-FFF2-40B4-BE49-F238E27FC236}">
              <a16:creationId xmlns:a16="http://schemas.microsoft.com/office/drawing/2014/main" id="{989F394E-9E09-4EF8-8D2F-F68B5CE14268}"/>
            </a:ext>
          </a:extLst>
        </xdr:cNvPr>
        <xdr:cNvSpPr/>
      </xdr:nvSpPr>
      <xdr:spPr>
        <a:xfrm>
          <a:off x="1507623" y="5090488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73269</xdr:colOff>
      <xdr:row>25</xdr:row>
      <xdr:rowOff>65941</xdr:rowOff>
    </xdr:from>
    <xdr:to>
      <xdr:col>44</xdr:col>
      <xdr:colOff>190500</xdr:colOff>
      <xdr:row>25</xdr:row>
      <xdr:rowOff>183172</xdr:rowOff>
    </xdr:to>
    <xdr:sp macro="" textlink="">
      <xdr:nvSpPr>
        <xdr:cNvPr id="150" name="Flowchart: Connector 149">
          <a:extLst>
            <a:ext uri="{FF2B5EF4-FFF2-40B4-BE49-F238E27FC236}">
              <a16:creationId xmlns:a16="http://schemas.microsoft.com/office/drawing/2014/main" id="{5979ADB4-B278-4B0F-836B-95C1DEA64840}"/>
            </a:ext>
          </a:extLst>
        </xdr:cNvPr>
        <xdr:cNvSpPr/>
      </xdr:nvSpPr>
      <xdr:spPr>
        <a:xfrm>
          <a:off x="1507622" y="480602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62</xdr:col>
      <xdr:colOff>212911</xdr:colOff>
      <xdr:row>53</xdr:row>
      <xdr:rowOff>212913</xdr:rowOff>
    </xdr:from>
    <xdr:to>
      <xdr:col>63</xdr:col>
      <xdr:colOff>569819</xdr:colOff>
      <xdr:row>63</xdr:row>
      <xdr:rowOff>220757</xdr:rowOff>
    </xdr:to>
    <xdr:sp macro="" textlink="">
      <xdr:nvSpPr>
        <xdr:cNvPr id="151" name="Rectangle: Rounded Corners 150">
          <a:extLst>
            <a:ext uri="{FF2B5EF4-FFF2-40B4-BE49-F238E27FC236}">
              <a16:creationId xmlns:a16="http://schemas.microsoft.com/office/drawing/2014/main" id="{98F6A94B-0232-410F-8C7C-7D9FB133AAF5}"/>
            </a:ext>
          </a:extLst>
        </xdr:cNvPr>
        <xdr:cNvSpPr/>
      </xdr:nvSpPr>
      <xdr:spPr>
        <a:xfrm>
          <a:off x="11116235" y="11844619"/>
          <a:ext cx="648260" cy="2226609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oneCellAnchor>
    <xdr:from>
      <xdr:col>68</xdr:col>
      <xdr:colOff>33618</xdr:colOff>
      <xdr:row>62</xdr:row>
      <xdr:rowOff>11206</xdr:rowOff>
    </xdr:from>
    <xdr:ext cx="2218765" cy="284458"/>
    <xdr:pic>
      <xdr:nvPicPr>
        <xdr:cNvPr id="152" name="Picture 151">
          <a:extLst>
            <a:ext uri="{FF2B5EF4-FFF2-40B4-BE49-F238E27FC236}">
              <a16:creationId xmlns:a16="http://schemas.microsoft.com/office/drawing/2014/main" id="{6B927E6D-59A5-42C2-BD8C-F58D1239F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3736" y="13626353"/>
          <a:ext cx="2218765" cy="284458"/>
        </a:xfrm>
        <a:prstGeom prst="rect">
          <a:avLst/>
        </a:prstGeom>
      </xdr:spPr>
    </xdr:pic>
    <xdr:clientData/>
  </xdr:oneCellAnchor>
  <xdr:oneCellAnchor>
    <xdr:from>
      <xdr:col>64</xdr:col>
      <xdr:colOff>224117</xdr:colOff>
      <xdr:row>86</xdr:row>
      <xdr:rowOff>11203</xdr:rowOff>
    </xdr:from>
    <xdr:ext cx="4370294" cy="2461292"/>
    <xdr:pic>
      <xdr:nvPicPr>
        <xdr:cNvPr id="155" name="Picture 154">
          <a:extLst>
            <a:ext uri="{FF2B5EF4-FFF2-40B4-BE49-F238E27FC236}">
              <a16:creationId xmlns:a16="http://schemas.microsoft.com/office/drawing/2014/main" id="{FF376995-CCBD-49D0-BA58-176C4CEB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23911" y="19139644"/>
          <a:ext cx="4370294" cy="2461292"/>
        </a:xfrm>
        <a:prstGeom prst="rect">
          <a:avLst/>
        </a:prstGeom>
      </xdr:spPr>
    </xdr:pic>
    <xdr:clientData/>
  </xdr:oneCellAnchor>
  <xdr:twoCellAnchor>
    <xdr:from>
      <xdr:col>44</xdr:col>
      <xdr:colOff>73270</xdr:colOff>
      <xdr:row>26</xdr:row>
      <xdr:rowOff>36635</xdr:rowOff>
    </xdr:from>
    <xdr:to>
      <xdr:col>44</xdr:col>
      <xdr:colOff>190501</xdr:colOff>
      <xdr:row>26</xdr:row>
      <xdr:rowOff>153866</xdr:rowOff>
    </xdr:to>
    <xdr:sp macro="" textlink="">
      <xdr:nvSpPr>
        <xdr:cNvPr id="156" name="Flowchart: Connector 155">
          <a:extLst>
            <a:ext uri="{FF2B5EF4-FFF2-40B4-BE49-F238E27FC236}">
              <a16:creationId xmlns:a16="http://schemas.microsoft.com/office/drawing/2014/main" id="{027A04ED-44F2-4CE5-A6E0-9F7EE0E39C16}"/>
            </a:ext>
          </a:extLst>
        </xdr:cNvPr>
        <xdr:cNvSpPr/>
      </xdr:nvSpPr>
      <xdr:spPr>
        <a:xfrm>
          <a:off x="1507623" y="5090488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73269</xdr:colOff>
      <xdr:row>25</xdr:row>
      <xdr:rowOff>65941</xdr:rowOff>
    </xdr:from>
    <xdr:to>
      <xdr:col>44</xdr:col>
      <xdr:colOff>190500</xdr:colOff>
      <xdr:row>25</xdr:row>
      <xdr:rowOff>183172</xdr:rowOff>
    </xdr:to>
    <xdr:sp macro="" textlink="">
      <xdr:nvSpPr>
        <xdr:cNvPr id="157" name="Flowchart: Connector 156">
          <a:extLst>
            <a:ext uri="{FF2B5EF4-FFF2-40B4-BE49-F238E27FC236}">
              <a16:creationId xmlns:a16="http://schemas.microsoft.com/office/drawing/2014/main" id="{79A19CC5-23D5-464E-82B7-111580282BD5}"/>
            </a:ext>
          </a:extLst>
        </xdr:cNvPr>
        <xdr:cNvSpPr/>
      </xdr:nvSpPr>
      <xdr:spPr>
        <a:xfrm>
          <a:off x="1507622" y="4806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73270</xdr:colOff>
      <xdr:row>34</xdr:row>
      <xdr:rowOff>36635</xdr:rowOff>
    </xdr:from>
    <xdr:to>
      <xdr:col>44</xdr:col>
      <xdr:colOff>190501</xdr:colOff>
      <xdr:row>34</xdr:row>
      <xdr:rowOff>153866</xdr:rowOff>
    </xdr:to>
    <xdr:sp macro="" textlink="">
      <xdr:nvSpPr>
        <xdr:cNvPr id="158" name="Flowchart: Connector 157">
          <a:extLst>
            <a:ext uri="{FF2B5EF4-FFF2-40B4-BE49-F238E27FC236}">
              <a16:creationId xmlns:a16="http://schemas.microsoft.com/office/drawing/2014/main" id="{6067A46B-BB22-472E-B815-693EB8A54B9A}"/>
            </a:ext>
          </a:extLst>
        </xdr:cNvPr>
        <xdr:cNvSpPr/>
      </xdr:nvSpPr>
      <xdr:spPr>
        <a:xfrm>
          <a:off x="1507623" y="7735076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73269</xdr:colOff>
      <xdr:row>33</xdr:row>
      <xdr:rowOff>65941</xdr:rowOff>
    </xdr:from>
    <xdr:to>
      <xdr:col>44</xdr:col>
      <xdr:colOff>190500</xdr:colOff>
      <xdr:row>33</xdr:row>
      <xdr:rowOff>183172</xdr:rowOff>
    </xdr:to>
    <xdr:sp macro="" textlink="">
      <xdr:nvSpPr>
        <xdr:cNvPr id="159" name="Flowchart: Connector 158">
          <a:extLst>
            <a:ext uri="{FF2B5EF4-FFF2-40B4-BE49-F238E27FC236}">
              <a16:creationId xmlns:a16="http://schemas.microsoft.com/office/drawing/2014/main" id="{37C5F1A9-B8C6-4E87-83BE-464A01A2773B}"/>
            </a:ext>
          </a:extLst>
        </xdr:cNvPr>
        <xdr:cNvSpPr/>
      </xdr:nvSpPr>
      <xdr:spPr>
        <a:xfrm>
          <a:off x="1507622" y="7349765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73270</xdr:colOff>
      <xdr:row>30</xdr:row>
      <xdr:rowOff>36635</xdr:rowOff>
    </xdr:from>
    <xdr:to>
      <xdr:col>44</xdr:col>
      <xdr:colOff>190501</xdr:colOff>
      <xdr:row>30</xdr:row>
      <xdr:rowOff>153866</xdr:rowOff>
    </xdr:to>
    <xdr:sp macro="" textlink="">
      <xdr:nvSpPr>
        <xdr:cNvPr id="160" name="Flowchart: Connector 159">
          <a:extLst>
            <a:ext uri="{FF2B5EF4-FFF2-40B4-BE49-F238E27FC236}">
              <a16:creationId xmlns:a16="http://schemas.microsoft.com/office/drawing/2014/main" id="{95781A72-FC9E-4872-9194-936FB244F536}"/>
            </a:ext>
          </a:extLst>
        </xdr:cNvPr>
        <xdr:cNvSpPr/>
      </xdr:nvSpPr>
      <xdr:spPr>
        <a:xfrm>
          <a:off x="1507623" y="6379164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44</xdr:col>
      <xdr:colOff>73269</xdr:colOff>
      <xdr:row>29</xdr:row>
      <xdr:rowOff>65941</xdr:rowOff>
    </xdr:from>
    <xdr:to>
      <xdr:col>44</xdr:col>
      <xdr:colOff>190500</xdr:colOff>
      <xdr:row>29</xdr:row>
      <xdr:rowOff>183172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A48FF18A-19DF-4EB1-B95F-A558C3A8A660}"/>
            </a:ext>
          </a:extLst>
        </xdr:cNvPr>
        <xdr:cNvSpPr/>
      </xdr:nvSpPr>
      <xdr:spPr>
        <a:xfrm>
          <a:off x="1507622" y="6161941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64</xdr:col>
      <xdr:colOff>246528</xdr:colOff>
      <xdr:row>77</xdr:row>
      <xdr:rowOff>257734</xdr:rowOff>
    </xdr:from>
    <xdr:to>
      <xdr:col>69</xdr:col>
      <xdr:colOff>285830</xdr:colOff>
      <xdr:row>82</xdr:row>
      <xdr:rowOff>44824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B41FE8-09E6-101E-F003-3DB71BB37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996469" y="17144999"/>
          <a:ext cx="7547243" cy="862854"/>
        </a:xfrm>
        <a:prstGeom prst="rect">
          <a:avLst/>
        </a:prstGeom>
      </xdr:spPr>
    </xdr:pic>
    <xdr:clientData/>
  </xdr:twoCellAnchor>
  <xdr:twoCellAnchor editAs="oneCell">
    <xdr:from>
      <xdr:col>69</xdr:col>
      <xdr:colOff>291353</xdr:colOff>
      <xdr:row>77</xdr:row>
      <xdr:rowOff>257736</xdr:rowOff>
    </xdr:from>
    <xdr:to>
      <xdr:col>70</xdr:col>
      <xdr:colOff>294756</xdr:colOff>
      <xdr:row>82</xdr:row>
      <xdr:rowOff>44824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A4B89B0-4BEE-75C5-7257-614BBF7D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549235" y="17145001"/>
          <a:ext cx="731786" cy="862852"/>
        </a:xfrm>
        <a:prstGeom prst="rect">
          <a:avLst/>
        </a:prstGeom>
      </xdr:spPr>
    </xdr:pic>
    <xdr:clientData/>
  </xdr:twoCellAnchor>
  <xdr:oneCellAnchor>
    <xdr:from>
      <xdr:col>102</xdr:col>
      <xdr:colOff>600075</xdr:colOff>
      <xdr:row>5</xdr:row>
      <xdr:rowOff>0</xdr:rowOff>
    </xdr:from>
    <xdr:ext cx="1386163" cy="690389"/>
    <xdr:pic>
      <xdr:nvPicPr>
        <xdr:cNvPr id="12" name="Picture 11">
          <a:extLst>
            <a:ext uri="{FF2B5EF4-FFF2-40B4-BE49-F238E27FC236}">
              <a16:creationId xmlns:a16="http://schemas.microsoft.com/office/drawing/2014/main" id="{94615A89-69E7-438C-B30A-92202D358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39221" y="504265"/>
          <a:ext cx="1386163" cy="690389"/>
        </a:xfrm>
        <a:prstGeom prst="rect">
          <a:avLst/>
        </a:prstGeom>
      </xdr:spPr>
    </xdr:pic>
    <xdr:clientData/>
  </xdr:oneCellAnchor>
  <xdr:twoCellAnchor>
    <xdr:from>
      <xdr:col>102</xdr:col>
      <xdr:colOff>224118</xdr:colOff>
      <xdr:row>12</xdr:row>
      <xdr:rowOff>171447</xdr:rowOff>
    </xdr:from>
    <xdr:to>
      <xdr:col>103</xdr:col>
      <xdr:colOff>581026</xdr:colOff>
      <xdr:row>22</xdr:row>
      <xdr:rowOff>156880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140D288-1BA3-42BD-A9EE-C90B4D1A6A01}"/>
            </a:ext>
          </a:extLst>
        </xdr:cNvPr>
        <xdr:cNvSpPr/>
      </xdr:nvSpPr>
      <xdr:spPr>
        <a:xfrm>
          <a:off x="38077589" y="1919565"/>
          <a:ext cx="648261" cy="21145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twoCellAnchor>
    <xdr:from>
      <xdr:col>104</xdr:col>
      <xdr:colOff>8405</xdr:colOff>
      <xdr:row>10</xdr:row>
      <xdr:rowOff>56589</xdr:rowOff>
    </xdr:from>
    <xdr:to>
      <xdr:col>112</xdr:col>
      <xdr:colOff>213059</xdr:colOff>
      <xdr:row>12</xdr:row>
      <xdr:rowOff>170889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DA72C05-D7BE-4C12-9613-2FBC39EA351D}"/>
            </a:ext>
            <a:ext uri="{147F2762-F138-4A5C-976F-8EAC2B608ADB}">
              <a16:predDERef xmlns:a16="http://schemas.microsoft.com/office/drawing/2014/main" pred="{F0131444-B0A8-A7A9-F5CE-638AF88C1CA4}"/>
            </a:ext>
          </a:extLst>
        </xdr:cNvPr>
        <xdr:cNvGrpSpPr/>
      </xdr:nvGrpSpPr>
      <xdr:grpSpPr>
        <a:xfrm>
          <a:off x="65708493" y="1995207"/>
          <a:ext cx="10850242" cy="495300"/>
          <a:chOff x="1171736" y="7408232"/>
          <a:chExt cx="8100392" cy="495300"/>
        </a:xfrm>
      </xdr:grpSpPr>
      <xdr:sp macro="" textlink="">
        <xdr:nvSpPr>
          <xdr:cNvPr id="20" name="Rectangle: Top Corners One Rounded and One Snipped 19">
            <a:extLst>
              <a:ext uri="{FF2B5EF4-FFF2-40B4-BE49-F238E27FC236}">
                <a16:creationId xmlns:a16="http://schemas.microsoft.com/office/drawing/2014/main" id="{8341C2E4-63EF-693A-49FD-ED6FD1A53A9B}"/>
              </a:ext>
            </a:extLst>
          </xdr:cNvPr>
          <xdr:cNvSpPr/>
        </xdr:nvSpPr>
        <xdr:spPr>
          <a:xfrm>
            <a:off x="1171736" y="7408232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Dokumen Syarat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21" name="Rectangle: Top Corners One Rounded and One Snipped 20">
            <a:extLst>
              <a:ext uri="{FF2B5EF4-FFF2-40B4-BE49-F238E27FC236}">
                <a16:creationId xmlns:a16="http://schemas.microsoft.com/office/drawing/2014/main" id="{55D550AF-25DC-BDE3-BFE0-47BFE4BC0C4C}"/>
              </a:ext>
            </a:extLst>
          </xdr:cNvPr>
          <xdr:cNvSpPr/>
        </xdr:nvSpPr>
        <xdr:spPr>
          <a:xfrm>
            <a:off x="3222507" y="7417757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2" name="Rectangle: Top Corners One Rounded and One Snipped 21">
            <a:extLst>
              <a:ext uri="{FF2B5EF4-FFF2-40B4-BE49-F238E27FC236}">
                <a16:creationId xmlns:a16="http://schemas.microsoft.com/office/drawing/2014/main" id="{2BDA36CC-CA55-3045-18B4-D8FC7FA545A6}"/>
              </a:ext>
            </a:extLst>
          </xdr:cNvPr>
          <xdr:cNvSpPr/>
        </xdr:nvSpPr>
        <xdr:spPr>
          <a:xfrm>
            <a:off x="5258968" y="7420478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" name="Rectangle: Top Corners One Rounded and One Snipped 22">
            <a:extLst>
              <a:ext uri="{FF2B5EF4-FFF2-40B4-BE49-F238E27FC236}">
                <a16:creationId xmlns:a16="http://schemas.microsoft.com/office/drawing/2014/main" id="{5C781354-EE8B-7313-4CE2-C99A2DA6FC2E}"/>
              </a:ext>
            </a:extLst>
          </xdr:cNvPr>
          <xdr:cNvSpPr/>
        </xdr:nvSpPr>
        <xdr:spPr>
          <a:xfrm>
            <a:off x="7297555" y="7427282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102</xdr:col>
      <xdr:colOff>274543</xdr:colOff>
      <xdr:row>48</xdr:row>
      <xdr:rowOff>561</xdr:rowOff>
    </xdr:from>
    <xdr:ext cx="1171014" cy="659674"/>
    <xdr:pic>
      <xdr:nvPicPr>
        <xdr:cNvPr id="24" name="Picture 23">
          <a:extLst>
            <a:ext uri="{FF2B5EF4-FFF2-40B4-BE49-F238E27FC236}">
              <a16:creationId xmlns:a16="http://schemas.microsoft.com/office/drawing/2014/main" id="{3DE8AC73-1D80-456E-98DF-DE181BB5E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28014" y="10388414"/>
          <a:ext cx="1171014" cy="659674"/>
        </a:xfrm>
        <a:prstGeom prst="rect">
          <a:avLst/>
        </a:prstGeom>
      </xdr:spPr>
    </xdr:pic>
    <xdr:clientData/>
  </xdr:oneCellAnchor>
  <xdr:twoCellAnchor>
    <xdr:from>
      <xdr:col>103</xdr:col>
      <xdr:colOff>568577</xdr:colOff>
      <xdr:row>51</xdr:row>
      <xdr:rowOff>106650</xdr:rowOff>
    </xdr:from>
    <xdr:to>
      <xdr:col>112</xdr:col>
      <xdr:colOff>86870</xdr:colOff>
      <xdr:row>53</xdr:row>
      <xdr:rowOff>158561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2F81526-B4E4-46E5-B7B8-7E7A2EB10D95}"/>
            </a:ext>
          </a:extLst>
        </xdr:cNvPr>
        <xdr:cNvGrpSpPr/>
      </xdr:nvGrpSpPr>
      <xdr:grpSpPr>
        <a:xfrm>
          <a:off x="65663548" y="11637503"/>
          <a:ext cx="10768998" cy="500146"/>
          <a:chOff x="1093304" y="7339227"/>
          <a:chExt cx="8100392" cy="495300"/>
        </a:xfrm>
      </xdr:grpSpPr>
      <xdr:sp macro="" textlink="">
        <xdr:nvSpPr>
          <xdr:cNvPr id="26" name="Rectangle: Top Corners One Rounded and One Snipped 25">
            <a:extLst>
              <a:ext uri="{FF2B5EF4-FFF2-40B4-BE49-F238E27FC236}">
                <a16:creationId xmlns:a16="http://schemas.microsoft.com/office/drawing/2014/main" id="{E5B236FC-9E50-9E0F-8512-3C9CCD5CE3F7}"/>
              </a:ext>
            </a:extLst>
          </xdr:cNvPr>
          <xdr:cNvSpPr/>
        </xdr:nvSpPr>
        <xdr:spPr>
          <a:xfrm>
            <a:off x="1093304" y="7339227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Dokumen Syarat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7" name="Rectangle: Top Corners One Rounded and One Snipped 26">
            <a:extLst>
              <a:ext uri="{FF2B5EF4-FFF2-40B4-BE49-F238E27FC236}">
                <a16:creationId xmlns:a16="http://schemas.microsoft.com/office/drawing/2014/main" id="{0D6078C8-A991-29D6-1323-68E5D50A9C57}"/>
              </a:ext>
            </a:extLst>
          </xdr:cNvPr>
          <xdr:cNvSpPr/>
        </xdr:nvSpPr>
        <xdr:spPr>
          <a:xfrm>
            <a:off x="3144076" y="7348751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8" name="Rectangle: Top Corners One Rounded and One Snipped 27">
            <a:extLst>
              <a:ext uri="{FF2B5EF4-FFF2-40B4-BE49-F238E27FC236}">
                <a16:creationId xmlns:a16="http://schemas.microsoft.com/office/drawing/2014/main" id="{DDF1B708-0E92-EB92-4AE1-60E21544D2DE}"/>
              </a:ext>
            </a:extLst>
          </xdr:cNvPr>
          <xdr:cNvSpPr/>
        </xdr:nvSpPr>
        <xdr:spPr>
          <a:xfrm>
            <a:off x="5180536" y="7351472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9" name="Rectangle: Top Corners One Rounded and One Snipped 28">
            <a:extLst>
              <a:ext uri="{FF2B5EF4-FFF2-40B4-BE49-F238E27FC236}">
                <a16:creationId xmlns:a16="http://schemas.microsoft.com/office/drawing/2014/main" id="{7D89BC59-652A-58C9-EA5C-76EE622BF747}"/>
              </a:ext>
            </a:extLst>
          </xdr:cNvPr>
          <xdr:cNvSpPr/>
        </xdr:nvSpPr>
        <xdr:spPr>
          <a:xfrm>
            <a:off x="7219123" y="7358277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82</xdr:col>
      <xdr:colOff>143071</xdr:colOff>
      <xdr:row>4</xdr:row>
      <xdr:rowOff>259684</xdr:rowOff>
    </xdr:from>
    <xdr:ext cx="1396126" cy="783366"/>
    <xdr:pic>
      <xdr:nvPicPr>
        <xdr:cNvPr id="30" name="Picture 29">
          <a:extLst>
            <a:ext uri="{FF2B5EF4-FFF2-40B4-BE49-F238E27FC236}">
              <a16:creationId xmlns:a16="http://schemas.microsoft.com/office/drawing/2014/main" id="{3AD34712-06CC-43FF-B1FA-11353B2DC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8836" y="450184"/>
          <a:ext cx="1396126" cy="783366"/>
        </a:xfrm>
        <a:prstGeom prst="rect">
          <a:avLst/>
        </a:prstGeom>
      </xdr:spPr>
    </xdr:pic>
    <xdr:clientData/>
  </xdr:oneCellAnchor>
  <xdr:twoCellAnchor>
    <xdr:from>
      <xdr:col>97</xdr:col>
      <xdr:colOff>28419</xdr:colOff>
      <xdr:row>10</xdr:row>
      <xdr:rowOff>63357</xdr:rowOff>
    </xdr:from>
    <xdr:to>
      <xdr:col>99</xdr:col>
      <xdr:colOff>9055</xdr:colOff>
      <xdr:row>12</xdr:row>
      <xdr:rowOff>158607</xdr:rowOff>
    </xdr:to>
    <xdr:sp macro="" textlink="">
      <xdr:nvSpPr>
        <xdr:cNvPr id="31" name="Rectangle: Top Corners One Rounded and One Snipped 30">
          <a:extLst>
            <a:ext uri="{FF2B5EF4-FFF2-40B4-BE49-F238E27FC236}">
              <a16:creationId xmlns:a16="http://schemas.microsoft.com/office/drawing/2014/main" id="{D8CD9BFE-F3D3-406E-B9FC-2A60AB00968F}"/>
            </a:ext>
          </a:extLst>
        </xdr:cNvPr>
        <xdr:cNvSpPr/>
      </xdr:nvSpPr>
      <xdr:spPr>
        <a:xfrm>
          <a:off x="35102831" y="1430475"/>
          <a:ext cx="170634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83</xdr:col>
      <xdr:colOff>771</xdr:colOff>
      <xdr:row>10</xdr:row>
      <xdr:rowOff>55718</xdr:rowOff>
    </xdr:from>
    <xdr:to>
      <xdr:col>89</xdr:col>
      <xdr:colOff>773206</xdr:colOff>
      <xdr:row>12</xdr:row>
      <xdr:rowOff>149430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38B41B56-6583-4EE6-A9A1-EEA209D03CDF}"/>
            </a:ext>
          </a:extLst>
        </xdr:cNvPr>
        <xdr:cNvGrpSpPr/>
      </xdr:nvGrpSpPr>
      <xdr:grpSpPr>
        <a:xfrm>
          <a:off x="55178536" y="1994336"/>
          <a:ext cx="3327376" cy="474712"/>
          <a:chOff x="14047281" y="1355168"/>
          <a:chExt cx="3543952" cy="486295"/>
        </a:xfrm>
      </xdr:grpSpPr>
      <xdr:sp macro="" textlink="">
        <xdr:nvSpPr>
          <xdr:cNvPr id="33" name="Rectangle: Top Corners One Rounded and One Snipped 32">
            <a:extLst>
              <a:ext uri="{FF2B5EF4-FFF2-40B4-BE49-F238E27FC236}">
                <a16:creationId xmlns:a16="http://schemas.microsoft.com/office/drawing/2014/main" id="{D81FEB9D-C71C-5D6C-07EE-EA8B2ABC87EA}"/>
              </a:ext>
            </a:extLst>
          </xdr:cNvPr>
          <xdr:cNvSpPr/>
        </xdr:nvSpPr>
        <xdr:spPr>
          <a:xfrm>
            <a:off x="14047281" y="1355168"/>
            <a:ext cx="1754562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4" name="Rectangle: Top Corners One Rounded and One Snipped 33">
            <a:extLst>
              <a:ext uri="{FF2B5EF4-FFF2-40B4-BE49-F238E27FC236}">
                <a16:creationId xmlns:a16="http://schemas.microsoft.com/office/drawing/2014/main" id="{DB421046-6B2F-84D7-1624-B9974D8FDE63}"/>
              </a:ext>
            </a:extLst>
          </xdr:cNvPr>
          <xdr:cNvSpPr/>
        </xdr:nvSpPr>
        <xdr:spPr>
          <a:xfrm>
            <a:off x="15902616" y="1365213"/>
            <a:ext cx="1688617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93</xdr:col>
      <xdr:colOff>415279</xdr:colOff>
      <xdr:row>10</xdr:row>
      <xdr:rowOff>61892</xdr:rowOff>
    </xdr:from>
    <xdr:to>
      <xdr:col>97</xdr:col>
      <xdr:colOff>7589</xdr:colOff>
      <xdr:row>12</xdr:row>
      <xdr:rowOff>157142</xdr:rowOff>
    </xdr:to>
    <xdr:sp macro="" textlink="">
      <xdr:nvSpPr>
        <xdr:cNvPr id="35" name="Rectangle: Top Corners One Rounded and One Snipped 34">
          <a:extLst>
            <a:ext uri="{FF2B5EF4-FFF2-40B4-BE49-F238E27FC236}">
              <a16:creationId xmlns:a16="http://schemas.microsoft.com/office/drawing/2014/main" id="{DBE9C019-4FD4-424E-AF53-07264717EDA4}"/>
            </a:ext>
          </a:extLst>
        </xdr:cNvPr>
        <xdr:cNvSpPr/>
      </xdr:nvSpPr>
      <xdr:spPr>
        <a:xfrm>
          <a:off x="33382985" y="1429010"/>
          <a:ext cx="1699016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89</xdr:col>
      <xdr:colOff>853430</xdr:colOff>
      <xdr:row>10</xdr:row>
      <xdr:rowOff>60426</xdr:rowOff>
    </xdr:from>
    <xdr:to>
      <xdr:col>93</xdr:col>
      <xdr:colOff>379797</xdr:colOff>
      <xdr:row>12</xdr:row>
      <xdr:rowOff>155676</xdr:rowOff>
    </xdr:to>
    <xdr:sp macro="" textlink="">
      <xdr:nvSpPr>
        <xdr:cNvPr id="36" name="Rectangle: Top Corners One Rounded and One Snipped 35">
          <a:extLst>
            <a:ext uri="{FF2B5EF4-FFF2-40B4-BE49-F238E27FC236}">
              <a16:creationId xmlns:a16="http://schemas.microsoft.com/office/drawing/2014/main" id="{AC8BA412-5482-4422-A31F-D0D825C6DE78}"/>
            </a:ext>
          </a:extLst>
        </xdr:cNvPr>
        <xdr:cNvSpPr/>
      </xdr:nvSpPr>
      <xdr:spPr>
        <a:xfrm>
          <a:off x="31635989" y="1427544"/>
          <a:ext cx="1711514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392205</xdr:colOff>
      <xdr:row>12</xdr:row>
      <xdr:rowOff>155708</xdr:rowOff>
    </xdr:from>
    <xdr:to>
      <xdr:col>83</xdr:col>
      <xdr:colOff>2644</xdr:colOff>
      <xdr:row>20</xdr:row>
      <xdr:rowOff>33617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9C5D2E62-FA8A-4F8C-AD3E-5FE036CD2DEA}"/>
            </a:ext>
          </a:extLst>
        </xdr:cNvPr>
        <xdr:cNvSpPr/>
      </xdr:nvSpPr>
      <xdr:spPr>
        <a:xfrm>
          <a:off x="27857823" y="1903826"/>
          <a:ext cx="372439" cy="14803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SEWA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V</a:t>
          </a:r>
          <a:endParaRPr lang="en-ID" sz="1200">
            <a:effectLst/>
          </a:endParaRPr>
        </a:p>
      </xdr:txBody>
    </xdr:sp>
    <xdr:clientData/>
  </xdr:twoCellAnchor>
  <xdr:twoCellAnchor>
    <xdr:from>
      <xdr:col>84</xdr:col>
      <xdr:colOff>73270</xdr:colOff>
      <xdr:row>22</xdr:row>
      <xdr:rowOff>36635</xdr:rowOff>
    </xdr:from>
    <xdr:to>
      <xdr:col>84</xdr:col>
      <xdr:colOff>190501</xdr:colOff>
      <xdr:row>22</xdr:row>
      <xdr:rowOff>153866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A8DA5F67-5354-41F5-8E3E-FB816C3687A9}"/>
            </a:ext>
          </a:extLst>
        </xdr:cNvPr>
        <xdr:cNvSpPr/>
      </xdr:nvSpPr>
      <xdr:spPr>
        <a:xfrm>
          <a:off x="28457770" y="3913870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84</xdr:col>
      <xdr:colOff>73269</xdr:colOff>
      <xdr:row>21</xdr:row>
      <xdr:rowOff>65941</xdr:rowOff>
    </xdr:from>
    <xdr:to>
      <xdr:col>84</xdr:col>
      <xdr:colOff>190500</xdr:colOff>
      <xdr:row>21</xdr:row>
      <xdr:rowOff>183172</xdr:rowOff>
    </xdr:to>
    <xdr:sp macro="" textlink="">
      <xdr:nvSpPr>
        <xdr:cNvPr id="39" name="Flowchart: Connector 38">
          <a:extLst>
            <a:ext uri="{FF2B5EF4-FFF2-40B4-BE49-F238E27FC236}">
              <a16:creationId xmlns:a16="http://schemas.microsoft.com/office/drawing/2014/main" id="{375D495F-3496-4334-9685-D8BBBEF33DB0}"/>
            </a:ext>
          </a:extLst>
        </xdr:cNvPr>
        <xdr:cNvSpPr/>
      </xdr:nvSpPr>
      <xdr:spPr>
        <a:xfrm>
          <a:off x="28457769" y="3663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65943</xdr:colOff>
      <xdr:row>16</xdr:row>
      <xdr:rowOff>36634</xdr:rowOff>
    </xdr:from>
    <xdr:to>
      <xdr:col>84</xdr:col>
      <xdr:colOff>183174</xdr:colOff>
      <xdr:row>16</xdr:row>
      <xdr:rowOff>153865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7E11CBFA-3793-407C-B5D1-1BF8C152139C}"/>
            </a:ext>
          </a:extLst>
        </xdr:cNvPr>
        <xdr:cNvSpPr/>
      </xdr:nvSpPr>
      <xdr:spPr>
        <a:xfrm>
          <a:off x="28450443" y="264760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65943</xdr:colOff>
      <xdr:row>17</xdr:row>
      <xdr:rowOff>36634</xdr:rowOff>
    </xdr:from>
    <xdr:to>
      <xdr:col>84</xdr:col>
      <xdr:colOff>183174</xdr:colOff>
      <xdr:row>17</xdr:row>
      <xdr:rowOff>153865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E16A78E8-8747-426A-928B-49E5D036482D}"/>
            </a:ext>
          </a:extLst>
        </xdr:cNvPr>
        <xdr:cNvSpPr/>
      </xdr:nvSpPr>
      <xdr:spPr>
        <a:xfrm>
          <a:off x="28450443" y="2838105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63744</xdr:colOff>
      <xdr:row>16</xdr:row>
      <xdr:rowOff>38099</xdr:rowOff>
    </xdr:from>
    <xdr:to>
      <xdr:col>84</xdr:col>
      <xdr:colOff>171450</xdr:colOff>
      <xdr:row>16</xdr:row>
      <xdr:rowOff>152400</xdr:rowOff>
    </xdr:to>
    <xdr:sp macro="" textlink="">
      <xdr:nvSpPr>
        <xdr:cNvPr id="42" name="Flowchart: Connector 41">
          <a:extLst>
            <a:ext uri="{FF2B5EF4-FFF2-40B4-BE49-F238E27FC236}">
              <a16:creationId xmlns:a16="http://schemas.microsoft.com/office/drawing/2014/main" id="{603D4D7D-F8B9-4A69-9725-0413A4DC8D34}"/>
            </a:ext>
          </a:extLst>
        </xdr:cNvPr>
        <xdr:cNvSpPr/>
      </xdr:nvSpPr>
      <xdr:spPr>
        <a:xfrm>
          <a:off x="28448244" y="2649070"/>
          <a:ext cx="107706" cy="11430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73270</xdr:colOff>
      <xdr:row>30</xdr:row>
      <xdr:rowOff>36635</xdr:rowOff>
    </xdr:from>
    <xdr:to>
      <xdr:col>84</xdr:col>
      <xdr:colOff>190501</xdr:colOff>
      <xdr:row>30</xdr:row>
      <xdr:rowOff>153866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F194C7C7-931A-41CB-9DE4-317F44B68898}"/>
            </a:ext>
          </a:extLst>
        </xdr:cNvPr>
        <xdr:cNvSpPr/>
      </xdr:nvSpPr>
      <xdr:spPr>
        <a:xfrm>
          <a:off x="28457770" y="637916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73269</xdr:colOff>
      <xdr:row>29</xdr:row>
      <xdr:rowOff>65941</xdr:rowOff>
    </xdr:from>
    <xdr:to>
      <xdr:col>84</xdr:col>
      <xdr:colOff>190500</xdr:colOff>
      <xdr:row>29</xdr:row>
      <xdr:rowOff>183172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922B7678-A786-4EDE-AB67-597C51319C1F}"/>
            </a:ext>
          </a:extLst>
        </xdr:cNvPr>
        <xdr:cNvSpPr/>
      </xdr:nvSpPr>
      <xdr:spPr>
        <a:xfrm>
          <a:off x="28457769" y="61619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73270</xdr:colOff>
      <xdr:row>26</xdr:row>
      <xdr:rowOff>36635</xdr:rowOff>
    </xdr:from>
    <xdr:to>
      <xdr:col>84</xdr:col>
      <xdr:colOff>190501</xdr:colOff>
      <xdr:row>26</xdr:row>
      <xdr:rowOff>153866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264BFB40-471B-4257-99C2-B0639B8642DE}"/>
            </a:ext>
          </a:extLst>
        </xdr:cNvPr>
        <xdr:cNvSpPr/>
      </xdr:nvSpPr>
      <xdr:spPr>
        <a:xfrm>
          <a:off x="28457770" y="5090488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73269</xdr:colOff>
      <xdr:row>25</xdr:row>
      <xdr:rowOff>65941</xdr:rowOff>
    </xdr:from>
    <xdr:to>
      <xdr:col>84</xdr:col>
      <xdr:colOff>190500</xdr:colOff>
      <xdr:row>25</xdr:row>
      <xdr:rowOff>183172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3705A46D-4191-4318-BA39-ACDBA276CAAA}"/>
            </a:ext>
          </a:extLst>
        </xdr:cNvPr>
        <xdr:cNvSpPr/>
      </xdr:nvSpPr>
      <xdr:spPr>
        <a:xfrm>
          <a:off x="28457769" y="480602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102</xdr:col>
      <xdr:colOff>212911</xdr:colOff>
      <xdr:row>53</xdr:row>
      <xdr:rowOff>212913</xdr:rowOff>
    </xdr:from>
    <xdr:to>
      <xdr:col>103</xdr:col>
      <xdr:colOff>569819</xdr:colOff>
      <xdr:row>63</xdr:row>
      <xdr:rowOff>220757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CFB0E9BE-E12E-4BC1-9958-212B9731047E}"/>
            </a:ext>
          </a:extLst>
        </xdr:cNvPr>
        <xdr:cNvSpPr/>
      </xdr:nvSpPr>
      <xdr:spPr>
        <a:xfrm>
          <a:off x="38066382" y="11620501"/>
          <a:ext cx="648261" cy="2181785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oneCellAnchor>
    <xdr:from>
      <xdr:col>108</xdr:col>
      <xdr:colOff>33618</xdr:colOff>
      <xdr:row>62</xdr:row>
      <xdr:rowOff>11206</xdr:rowOff>
    </xdr:from>
    <xdr:ext cx="2218765" cy="284458"/>
    <xdr:pic>
      <xdr:nvPicPr>
        <xdr:cNvPr id="48" name="Picture 47">
          <a:extLst>
            <a:ext uri="{FF2B5EF4-FFF2-40B4-BE49-F238E27FC236}">
              <a16:creationId xmlns:a16="http://schemas.microsoft.com/office/drawing/2014/main" id="{A5885441-4FB1-4284-86D6-1A30CD955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33883" y="13357412"/>
          <a:ext cx="2218765" cy="284458"/>
        </a:xfrm>
        <a:prstGeom prst="rect">
          <a:avLst/>
        </a:prstGeom>
      </xdr:spPr>
    </xdr:pic>
    <xdr:clientData/>
  </xdr:oneCellAnchor>
  <xdr:twoCellAnchor>
    <xdr:from>
      <xdr:col>84</xdr:col>
      <xdr:colOff>73270</xdr:colOff>
      <xdr:row>26</xdr:row>
      <xdr:rowOff>36635</xdr:rowOff>
    </xdr:from>
    <xdr:to>
      <xdr:col>84</xdr:col>
      <xdr:colOff>190501</xdr:colOff>
      <xdr:row>26</xdr:row>
      <xdr:rowOff>153866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A4C2054F-219C-4930-AEB4-4046C690C2C6}"/>
            </a:ext>
          </a:extLst>
        </xdr:cNvPr>
        <xdr:cNvSpPr/>
      </xdr:nvSpPr>
      <xdr:spPr>
        <a:xfrm>
          <a:off x="28457770" y="5090488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73269</xdr:colOff>
      <xdr:row>25</xdr:row>
      <xdr:rowOff>65941</xdr:rowOff>
    </xdr:from>
    <xdr:to>
      <xdr:col>84</xdr:col>
      <xdr:colOff>190500</xdr:colOff>
      <xdr:row>25</xdr:row>
      <xdr:rowOff>183172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4EED3D77-723F-4929-BBBA-EEBAD4274236}"/>
            </a:ext>
          </a:extLst>
        </xdr:cNvPr>
        <xdr:cNvSpPr/>
      </xdr:nvSpPr>
      <xdr:spPr>
        <a:xfrm>
          <a:off x="28457769" y="4806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73270</xdr:colOff>
      <xdr:row>34</xdr:row>
      <xdr:rowOff>36635</xdr:rowOff>
    </xdr:from>
    <xdr:to>
      <xdr:col>84</xdr:col>
      <xdr:colOff>190501</xdr:colOff>
      <xdr:row>34</xdr:row>
      <xdr:rowOff>153866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E7099F09-4908-4D26-A020-888C70FD2AE0}"/>
            </a:ext>
          </a:extLst>
        </xdr:cNvPr>
        <xdr:cNvSpPr/>
      </xdr:nvSpPr>
      <xdr:spPr>
        <a:xfrm>
          <a:off x="28457770" y="751095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73269</xdr:colOff>
      <xdr:row>33</xdr:row>
      <xdr:rowOff>65941</xdr:rowOff>
    </xdr:from>
    <xdr:to>
      <xdr:col>84</xdr:col>
      <xdr:colOff>190500</xdr:colOff>
      <xdr:row>33</xdr:row>
      <xdr:rowOff>183172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E2C0BD50-57DC-4BE8-878C-B9EC35C6D221}"/>
            </a:ext>
          </a:extLst>
        </xdr:cNvPr>
        <xdr:cNvSpPr/>
      </xdr:nvSpPr>
      <xdr:spPr>
        <a:xfrm>
          <a:off x="28457769" y="7125647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73270</xdr:colOff>
      <xdr:row>30</xdr:row>
      <xdr:rowOff>36635</xdr:rowOff>
    </xdr:from>
    <xdr:to>
      <xdr:col>84</xdr:col>
      <xdr:colOff>190501</xdr:colOff>
      <xdr:row>30</xdr:row>
      <xdr:rowOff>153866</xdr:rowOff>
    </xdr:to>
    <xdr:sp macro="" textlink="">
      <xdr:nvSpPr>
        <xdr:cNvPr id="54" name="Flowchart: Connector 53">
          <a:extLst>
            <a:ext uri="{FF2B5EF4-FFF2-40B4-BE49-F238E27FC236}">
              <a16:creationId xmlns:a16="http://schemas.microsoft.com/office/drawing/2014/main" id="{D7A0D6BC-19C8-4BD0-8580-728A18FE0E3E}"/>
            </a:ext>
          </a:extLst>
        </xdr:cNvPr>
        <xdr:cNvSpPr/>
      </xdr:nvSpPr>
      <xdr:spPr>
        <a:xfrm>
          <a:off x="28457770" y="6379164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84</xdr:col>
      <xdr:colOff>73269</xdr:colOff>
      <xdr:row>29</xdr:row>
      <xdr:rowOff>65941</xdr:rowOff>
    </xdr:from>
    <xdr:to>
      <xdr:col>84</xdr:col>
      <xdr:colOff>190500</xdr:colOff>
      <xdr:row>29</xdr:row>
      <xdr:rowOff>183172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BDF65840-B591-4C1C-8D9C-04931992ADB7}"/>
            </a:ext>
          </a:extLst>
        </xdr:cNvPr>
        <xdr:cNvSpPr/>
      </xdr:nvSpPr>
      <xdr:spPr>
        <a:xfrm>
          <a:off x="28457769" y="61619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104</xdr:col>
      <xdr:colOff>235325</xdr:colOff>
      <xdr:row>77</xdr:row>
      <xdr:rowOff>235323</xdr:rowOff>
    </xdr:from>
    <xdr:to>
      <xdr:col>109</xdr:col>
      <xdr:colOff>147925</xdr:colOff>
      <xdr:row>82</xdr:row>
      <xdr:rowOff>145677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B2E468F-B29B-EC9A-6058-F9442416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935413" y="17122588"/>
          <a:ext cx="7420541" cy="986118"/>
        </a:xfrm>
        <a:prstGeom prst="rect">
          <a:avLst/>
        </a:prstGeom>
      </xdr:spPr>
    </xdr:pic>
    <xdr:clientData/>
  </xdr:twoCellAnchor>
  <xdr:twoCellAnchor editAs="oneCell">
    <xdr:from>
      <xdr:col>104</xdr:col>
      <xdr:colOff>224118</xdr:colOff>
      <xdr:row>86</xdr:row>
      <xdr:rowOff>0</xdr:rowOff>
    </xdr:from>
    <xdr:to>
      <xdr:col>107</xdr:col>
      <xdr:colOff>762001</xdr:colOff>
      <xdr:row>96</xdr:row>
      <xdr:rowOff>179294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4EF89FB-BFE3-D302-3139-EB17E6832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974"/>
        <a:stretch/>
      </xdr:blipFill>
      <xdr:spPr>
        <a:xfrm>
          <a:off x="65924206" y="18769853"/>
          <a:ext cx="4090148" cy="2151529"/>
        </a:xfrm>
        <a:prstGeom prst="rect">
          <a:avLst/>
        </a:prstGeom>
      </xdr:spPr>
    </xdr:pic>
    <xdr:clientData/>
  </xdr:twoCellAnchor>
  <xdr:oneCellAnchor>
    <xdr:from>
      <xdr:col>142</xdr:col>
      <xdr:colOff>600075</xdr:colOff>
      <xdr:row>5</xdr:row>
      <xdr:rowOff>0</xdr:rowOff>
    </xdr:from>
    <xdr:ext cx="1386163" cy="690389"/>
    <xdr:pic>
      <xdr:nvPicPr>
        <xdr:cNvPr id="60" name="Picture 59">
          <a:extLst>
            <a:ext uri="{FF2B5EF4-FFF2-40B4-BE49-F238E27FC236}">
              <a16:creationId xmlns:a16="http://schemas.microsoft.com/office/drawing/2014/main" id="{20919C8D-A878-407E-903F-74E07D268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89368" y="504265"/>
          <a:ext cx="1386163" cy="690389"/>
        </a:xfrm>
        <a:prstGeom prst="rect">
          <a:avLst/>
        </a:prstGeom>
      </xdr:spPr>
    </xdr:pic>
    <xdr:clientData/>
  </xdr:oneCellAnchor>
  <xdr:twoCellAnchor>
    <xdr:from>
      <xdr:col>142</xdr:col>
      <xdr:colOff>235324</xdr:colOff>
      <xdr:row>12</xdr:row>
      <xdr:rowOff>171447</xdr:rowOff>
    </xdr:from>
    <xdr:to>
      <xdr:col>143</xdr:col>
      <xdr:colOff>592232</xdr:colOff>
      <xdr:row>22</xdr:row>
      <xdr:rowOff>156880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AA58F292-0B66-4A55-8AD5-885CFDBDB226}"/>
            </a:ext>
          </a:extLst>
        </xdr:cNvPr>
        <xdr:cNvSpPr/>
      </xdr:nvSpPr>
      <xdr:spPr>
        <a:xfrm>
          <a:off x="91989089" y="1919565"/>
          <a:ext cx="648261" cy="21145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twoCellAnchor>
    <xdr:from>
      <xdr:col>144</xdr:col>
      <xdr:colOff>8405</xdr:colOff>
      <xdr:row>10</xdr:row>
      <xdr:rowOff>56589</xdr:rowOff>
    </xdr:from>
    <xdr:to>
      <xdr:col>152</xdr:col>
      <xdr:colOff>213059</xdr:colOff>
      <xdr:row>12</xdr:row>
      <xdr:rowOff>170889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3B790D02-6462-48B6-BD30-B8B89D6F306B}"/>
            </a:ext>
            <a:ext uri="{147F2762-F138-4A5C-976F-8EAC2B608ADB}">
              <a16:predDERef xmlns:a16="http://schemas.microsoft.com/office/drawing/2014/main" pred="{F0131444-B0A8-A7A9-F5CE-638AF88C1CA4}"/>
            </a:ext>
          </a:extLst>
        </xdr:cNvPr>
        <xdr:cNvGrpSpPr/>
      </xdr:nvGrpSpPr>
      <xdr:grpSpPr>
        <a:xfrm>
          <a:off x="92658640" y="1995207"/>
          <a:ext cx="10850243" cy="495300"/>
          <a:chOff x="1171736" y="7408232"/>
          <a:chExt cx="8100392" cy="495300"/>
        </a:xfrm>
      </xdr:grpSpPr>
      <xdr:sp macro="" textlink="">
        <xdr:nvSpPr>
          <xdr:cNvPr id="63" name="Rectangle: Top Corners One Rounded and One Snipped 62">
            <a:extLst>
              <a:ext uri="{FF2B5EF4-FFF2-40B4-BE49-F238E27FC236}">
                <a16:creationId xmlns:a16="http://schemas.microsoft.com/office/drawing/2014/main" id="{09264E41-E511-E2FD-D206-4A5A8166E814}"/>
              </a:ext>
            </a:extLst>
          </xdr:cNvPr>
          <xdr:cNvSpPr/>
        </xdr:nvSpPr>
        <xdr:spPr>
          <a:xfrm>
            <a:off x="1171736" y="7408232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Dokumen Syarat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64" name="Rectangle: Top Corners One Rounded and One Snipped 63">
            <a:extLst>
              <a:ext uri="{FF2B5EF4-FFF2-40B4-BE49-F238E27FC236}">
                <a16:creationId xmlns:a16="http://schemas.microsoft.com/office/drawing/2014/main" id="{834B0893-13A0-4F22-E299-5DFB4E4817A3}"/>
              </a:ext>
            </a:extLst>
          </xdr:cNvPr>
          <xdr:cNvSpPr/>
        </xdr:nvSpPr>
        <xdr:spPr>
          <a:xfrm>
            <a:off x="3222507" y="7417757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5" name="Rectangle: Top Corners One Rounded and One Snipped 74">
            <a:extLst>
              <a:ext uri="{FF2B5EF4-FFF2-40B4-BE49-F238E27FC236}">
                <a16:creationId xmlns:a16="http://schemas.microsoft.com/office/drawing/2014/main" id="{C3B7BD0E-6044-0726-1821-5B1AD58ADAF3}"/>
              </a:ext>
            </a:extLst>
          </xdr:cNvPr>
          <xdr:cNvSpPr/>
        </xdr:nvSpPr>
        <xdr:spPr>
          <a:xfrm>
            <a:off x="5258968" y="7420478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6" name="Rectangle: Top Corners One Rounded and One Snipped 75">
            <a:extLst>
              <a:ext uri="{FF2B5EF4-FFF2-40B4-BE49-F238E27FC236}">
                <a16:creationId xmlns:a16="http://schemas.microsoft.com/office/drawing/2014/main" id="{CC70AA6C-6484-B0DE-C858-D715026149E6}"/>
              </a:ext>
            </a:extLst>
          </xdr:cNvPr>
          <xdr:cNvSpPr/>
        </xdr:nvSpPr>
        <xdr:spPr>
          <a:xfrm>
            <a:off x="7297555" y="7427282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142</xdr:col>
      <xdr:colOff>274543</xdr:colOff>
      <xdr:row>48</xdr:row>
      <xdr:rowOff>561</xdr:rowOff>
    </xdr:from>
    <xdr:ext cx="1171014" cy="659674"/>
    <xdr:pic>
      <xdr:nvPicPr>
        <xdr:cNvPr id="77" name="Picture 76">
          <a:extLst>
            <a:ext uri="{FF2B5EF4-FFF2-40B4-BE49-F238E27FC236}">
              <a16:creationId xmlns:a16="http://schemas.microsoft.com/office/drawing/2014/main" id="{F2DBC6DB-306B-42FC-B95A-7B89E1C55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78161" y="10388414"/>
          <a:ext cx="1171014" cy="659674"/>
        </a:xfrm>
        <a:prstGeom prst="rect">
          <a:avLst/>
        </a:prstGeom>
      </xdr:spPr>
    </xdr:pic>
    <xdr:clientData/>
  </xdr:oneCellAnchor>
  <xdr:twoCellAnchor>
    <xdr:from>
      <xdr:col>143</xdr:col>
      <xdr:colOff>568577</xdr:colOff>
      <xdr:row>51</xdr:row>
      <xdr:rowOff>106650</xdr:rowOff>
    </xdr:from>
    <xdr:to>
      <xdr:col>152</xdr:col>
      <xdr:colOff>86870</xdr:colOff>
      <xdr:row>53</xdr:row>
      <xdr:rowOff>158561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AA1C023F-6E69-4E76-8A07-81F8C714C1E1}"/>
            </a:ext>
          </a:extLst>
        </xdr:cNvPr>
        <xdr:cNvGrpSpPr/>
      </xdr:nvGrpSpPr>
      <xdr:grpSpPr>
        <a:xfrm>
          <a:off x="92613695" y="11637503"/>
          <a:ext cx="10768999" cy="500146"/>
          <a:chOff x="1093304" y="7339227"/>
          <a:chExt cx="8100392" cy="495300"/>
        </a:xfrm>
      </xdr:grpSpPr>
      <xdr:sp macro="" textlink="">
        <xdr:nvSpPr>
          <xdr:cNvPr id="79" name="Rectangle: Top Corners One Rounded and One Snipped 78">
            <a:extLst>
              <a:ext uri="{FF2B5EF4-FFF2-40B4-BE49-F238E27FC236}">
                <a16:creationId xmlns:a16="http://schemas.microsoft.com/office/drawing/2014/main" id="{5F7DF5D2-67E2-114C-F358-0EB93181C10E}"/>
              </a:ext>
            </a:extLst>
          </xdr:cNvPr>
          <xdr:cNvSpPr/>
        </xdr:nvSpPr>
        <xdr:spPr>
          <a:xfrm>
            <a:off x="1093304" y="7339227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Dokumen Syarat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0" name="Rectangle: Top Corners One Rounded and One Snipped 79">
            <a:extLst>
              <a:ext uri="{FF2B5EF4-FFF2-40B4-BE49-F238E27FC236}">
                <a16:creationId xmlns:a16="http://schemas.microsoft.com/office/drawing/2014/main" id="{90FC7B18-979D-08F2-F8CE-FC0B79AE183E}"/>
              </a:ext>
            </a:extLst>
          </xdr:cNvPr>
          <xdr:cNvSpPr/>
        </xdr:nvSpPr>
        <xdr:spPr>
          <a:xfrm>
            <a:off x="3144076" y="7348751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1" name="Rectangle: Top Corners One Rounded and One Snipped 80">
            <a:extLst>
              <a:ext uri="{FF2B5EF4-FFF2-40B4-BE49-F238E27FC236}">
                <a16:creationId xmlns:a16="http://schemas.microsoft.com/office/drawing/2014/main" id="{2AFA4195-FC5B-9AE3-58D5-822A300FAF50}"/>
              </a:ext>
            </a:extLst>
          </xdr:cNvPr>
          <xdr:cNvSpPr/>
        </xdr:nvSpPr>
        <xdr:spPr>
          <a:xfrm>
            <a:off x="5180536" y="7351472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2" name="Rectangle: Top Corners One Rounded and One Snipped 81">
            <a:extLst>
              <a:ext uri="{FF2B5EF4-FFF2-40B4-BE49-F238E27FC236}">
                <a16:creationId xmlns:a16="http://schemas.microsoft.com/office/drawing/2014/main" id="{9B5F1DE2-276F-3FD4-6A2E-C88D57D5B5D1}"/>
              </a:ext>
            </a:extLst>
          </xdr:cNvPr>
          <xdr:cNvSpPr/>
        </xdr:nvSpPr>
        <xdr:spPr>
          <a:xfrm>
            <a:off x="7219123" y="7358277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122</xdr:col>
      <xdr:colOff>143071</xdr:colOff>
      <xdr:row>4</xdr:row>
      <xdr:rowOff>259684</xdr:rowOff>
    </xdr:from>
    <xdr:ext cx="1396126" cy="783366"/>
    <xdr:pic>
      <xdr:nvPicPr>
        <xdr:cNvPr id="83" name="Picture 82">
          <a:extLst>
            <a:ext uri="{FF2B5EF4-FFF2-40B4-BE49-F238E27FC236}">
              <a16:creationId xmlns:a16="http://schemas.microsoft.com/office/drawing/2014/main" id="{ECA5483F-4FBC-419E-8EA4-8AA63DF7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8836" y="450184"/>
          <a:ext cx="1396126" cy="783366"/>
        </a:xfrm>
        <a:prstGeom prst="rect">
          <a:avLst/>
        </a:prstGeom>
      </xdr:spPr>
    </xdr:pic>
    <xdr:clientData/>
  </xdr:oneCellAnchor>
  <xdr:twoCellAnchor>
    <xdr:from>
      <xdr:col>137</xdr:col>
      <xdr:colOff>28419</xdr:colOff>
      <xdr:row>10</xdr:row>
      <xdr:rowOff>63357</xdr:rowOff>
    </xdr:from>
    <xdr:to>
      <xdr:col>139</xdr:col>
      <xdr:colOff>9055</xdr:colOff>
      <xdr:row>12</xdr:row>
      <xdr:rowOff>158607</xdr:rowOff>
    </xdr:to>
    <xdr:sp macro="" textlink="">
      <xdr:nvSpPr>
        <xdr:cNvPr id="84" name="Rectangle: Top Corners One Rounded and One Snipped 83">
          <a:extLst>
            <a:ext uri="{FF2B5EF4-FFF2-40B4-BE49-F238E27FC236}">
              <a16:creationId xmlns:a16="http://schemas.microsoft.com/office/drawing/2014/main" id="{4122C14E-1987-48F2-A805-BABD939F0EAA}"/>
            </a:ext>
          </a:extLst>
        </xdr:cNvPr>
        <xdr:cNvSpPr/>
      </xdr:nvSpPr>
      <xdr:spPr>
        <a:xfrm>
          <a:off x="62052978" y="1430475"/>
          <a:ext cx="170634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123</xdr:col>
      <xdr:colOff>772</xdr:colOff>
      <xdr:row>10</xdr:row>
      <xdr:rowOff>55718</xdr:rowOff>
    </xdr:from>
    <xdr:to>
      <xdr:col>129</xdr:col>
      <xdr:colOff>773207</xdr:colOff>
      <xdr:row>12</xdr:row>
      <xdr:rowOff>179294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838306FA-7C5C-4DA3-8A6F-A57F27D342DC}"/>
            </a:ext>
          </a:extLst>
        </xdr:cNvPr>
        <xdr:cNvGrpSpPr/>
      </xdr:nvGrpSpPr>
      <xdr:grpSpPr>
        <a:xfrm>
          <a:off x="82128684" y="1994336"/>
          <a:ext cx="3327376" cy="504576"/>
          <a:chOff x="14047281" y="1355168"/>
          <a:chExt cx="3543952" cy="486295"/>
        </a:xfrm>
      </xdr:grpSpPr>
      <xdr:sp macro="" textlink="">
        <xdr:nvSpPr>
          <xdr:cNvPr id="86" name="Rectangle: Top Corners One Rounded and One Snipped 85">
            <a:extLst>
              <a:ext uri="{FF2B5EF4-FFF2-40B4-BE49-F238E27FC236}">
                <a16:creationId xmlns:a16="http://schemas.microsoft.com/office/drawing/2014/main" id="{66F99CC3-48B9-F24B-72CC-4747E41923A2}"/>
              </a:ext>
            </a:extLst>
          </xdr:cNvPr>
          <xdr:cNvSpPr/>
        </xdr:nvSpPr>
        <xdr:spPr>
          <a:xfrm>
            <a:off x="14047281" y="1355168"/>
            <a:ext cx="1754562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7" name="Rectangle: Top Corners One Rounded and One Snipped 86">
            <a:extLst>
              <a:ext uri="{FF2B5EF4-FFF2-40B4-BE49-F238E27FC236}">
                <a16:creationId xmlns:a16="http://schemas.microsoft.com/office/drawing/2014/main" id="{3BE9090A-AAA9-8F1A-B21F-60CECEA1BE74}"/>
              </a:ext>
            </a:extLst>
          </xdr:cNvPr>
          <xdr:cNvSpPr/>
        </xdr:nvSpPr>
        <xdr:spPr>
          <a:xfrm>
            <a:off x="15902616" y="1365213"/>
            <a:ext cx="1688617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133</xdr:col>
      <xdr:colOff>415279</xdr:colOff>
      <xdr:row>10</xdr:row>
      <xdr:rowOff>61892</xdr:rowOff>
    </xdr:from>
    <xdr:to>
      <xdr:col>137</xdr:col>
      <xdr:colOff>7589</xdr:colOff>
      <xdr:row>12</xdr:row>
      <xdr:rowOff>157142</xdr:rowOff>
    </xdr:to>
    <xdr:sp macro="" textlink="">
      <xdr:nvSpPr>
        <xdr:cNvPr id="88" name="Rectangle: Top Corners One Rounded and One Snipped 87">
          <a:extLst>
            <a:ext uri="{FF2B5EF4-FFF2-40B4-BE49-F238E27FC236}">
              <a16:creationId xmlns:a16="http://schemas.microsoft.com/office/drawing/2014/main" id="{7FB0C1B7-25C1-4A38-BCEF-2C7451A0AC2E}"/>
            </a:ext>
          </a:extLst>
        </xdr:cNvPr>
        <xdr:cNvSpPr/>
      </xdr:nvSpPr>
      <xdr:spPr>
        <a:xfrm>
          <a:off x="60333132" y="1429010"/>
          <a:ext cx="1699016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129</xdr:col>
      <xdr:colOff>853430</xdr:colOff>
      <xdr:row>10</xdr:row>
      <xdr:rowOff>60426</xdr:rowOff>
    </xdr:from>
    <xdr:to>
      <xdr:col>133</xdr:col>
      <xdr:colOff>379797</xdr:colOff>
      <xdr:row>12</xdr:row>
      <xdr:rowOff>155676</xdr:rowOff>
    </xdr:to>
    <xdr:sp macro="" textlink="">
      <xdr:nvSpPr>
        <xdr:cNvPr id="89" name="Rectangle: Top Corners One Rounded and One Snipped 88">
          <a:extLst>
            <a:ext uri="{FF2B5EF4-FFF2-40B4-BE49-F238E27FC236}">
              <a16:creationId xmlns:a16="http://schemas.microsoft.com/office/drawing/2014/main" id="{195326B5-A8F7-445F-AE17-65EAF683D050}"/>
            </a:ext>
          </a:extLst>
        </xdr:cNvPr>
        <xdr:cNvSpPr/>
      </xdr:nvSpPr>
      <xdr:spPr>
        <a:xfrm>
          <a:off x="58586136" y="1427544"/>
          <a:ext cx="1711514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122</xdr:col>
      <xdr:colOff>392205</xdr:colOff>
      <xdr:row>12</xdr:row>
      <xdr:rowOff>155708</xdr:rowOff>
    </xdr:from>
    <xdr:to>
      <xdr:col>123</xdr:col>
      <xdr:colOff>2644</xdr:colOff>
      <xdr:row>20</xdr:row>
      <xdr:rowOff>33617</xdr:rowOff>
    </xdr:to>
    <xdr:sp macro="" textlink="">
      <xdr:nvSpPr>
        <xdr:cNvPr id="90" name="Rectangle: Rounded Corners 89">
          <a:extLst>
            <a:ext uri="{FF2B5EF4-FFF2-40B4-BE49-F238E27FC236}">
              <a16:creationId xmlns:a16="http://schemas.microsoft.com/office/drawing/2014/main" id="{8494EDEF-60A4-4109-861A-3A7BC92ECB29}"/>
            </a:ext>
          </a:extLst>
        </xdr:cNvPr>
        <xdr:cNvSpPr/>
      </xdr:nvSpPr>
      <xdr:spPr>
        <a:xfrm>
          <a:off x="54807970" y="1903826"/>
          <a:ext cx="372439" cy="14803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SEWA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V</a:t>
          </a:r>
          <a:endParaRPr lang="en-ID" sz="1200">
            <a:effectLst/>
          </a:endParaRPr>
        </a:p>
      </xdr:txBody>
    </xdr:sp>
    <xdr:clientData/>
  </xdr:twoCellAnchor>
  <xdr:twoCellAnchor>
    <xdr:from>
      <xdr:col>124</xdr:col>
      <xdr:colOff>73270</xdr:colOff>
      <xdr:row>22</xdr:row>
      <xdr:rowOff>36635</xdr:rowOff>
    </xdr:from>
    <xdr:to>
      <xdr:col>124</xdr:col>
      <xdr:colOff>190501</xdr:colOff>
      <xdr:row>22</xdr:row>
      <xdr:rowOff>153866</xdr:rowOff>
    </xdr:to>
    <xdr:sp macro="" textlink="">
      <xdr:nvSpPr>
        <xdr:cNvPr id="91" name="Flowchart: Connector 90">
          <a:extLst>
            <a:ext uri="{FF2B5EF4-FFF2-40B4-BE49-F238E27FC236}">
              <a16:creationId xmlns:a16="http://schemas.microsoft.com/office/drawing/2014/main" id="{45ACFDB6-22CF-4FD4-AAED-DABA111F78A7}"/>
            </a:ext>
          </a:extLst>
        </xdr:cNvPr>
        <xdr:cNvSpPr/>
      </xdr:nvSpPr>
      <xdr:spPr>
        <a:xfrm>
          <a:off x="55407917" y="3913870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124</xdr:col>
      <xdr:colOff>73269</xdr:colOff>
      <xdr:row>21</xdr:row>
      <xdr:rowOff>65941</xdr:rowOff>
    </xdr:from>
    <xdr:to>
      <xdr:col>124</xdr:col>
      <xdr:colOff>190500</xdr:colOff>
      <xdr:row>21</xdr:row>
      <xdr:rowOff>183172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443EC315-7FDC-4916-ADDA-2AFA9F59A9BB}"/>
            </a:ext>
          </a:extLst>
        </xdr:cNvPr>
        <xdr:cNvSpPr/>
      </xdr:nvSpPr>
      <xdr:spPr>
        <a:xfrm>
          <a:off x="55407916" y="3663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65943</xdr:colOff>
      <xdr:row>16</xdr:row>
      <xdr:rowOff>36634</xdr:rowOff>
    </xdr:from>
    <xdr:to>
      <xdr:col>124</xdr:col>
      <xdr:colOff>183174</xdr:colOff>
      <xdr:row>16</xdr:row>
      <xdr:rowOff>153865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2F8BF5FD-5309-4FD5-9C7E-FE3A5161D935}"/>
            </a:ext>
          </a:extLst>
        </xdr:cNvPr>
        <xdr:cNvSpPr/>
      </xdr:nvSpPr>
      <xdr:spPr>
        <a:xfrm>
          <a:off x="55400590" y="264760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65943</xdr:colOff>
      <xdr:row>17</xdr:row>
      <xdr:rowOff>36634</xdr:rowOff>
    </xdr:from>
    <xdr:to>
      <xdr:col>124</xdr:col>
      <xdr:colOff>183174</xdr:colOff>
      <xdr:row>17</xdr:row>
      <xdr:rowOff>153865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549A713C-0A26-4614-94C4-BAAB76D4EE83}"/>
            </a:ext>
          </a:extLst>
        </xdr:cNvPr>
        <xdr:cNvSpPr/>
      </xdr:nvSpPr>
      <xdr:spPr>
        <a:xfrm>
          <a:off x="55400590" y="2838105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63744</xdr:colOff>
      <xdr:row>16</xdr:row>
      <xdr:rowOff>38099</xdr:rowOff>
    </xdr:from>
    <xdr:to>
      <xdr:col>124</xdr:col>
      <xdr:colOff>171450</xdr:colOff>
      <xdr:row>16</xdr:row>
      <xdr:rowOff>152400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614B2244-5062-4814-B3FC-BD76DE0AA0D3}"/>
            </a:ext>
          </a:extLst>
        </xdr:cNvPr>
        <xdr:cNvSpPr/>
      </xdr:nvSpPr>
      <xdr:spPr>
        <a:xfrm>
          <a:off x="55398391" y="2649070"/>
          <a:ext cx="107706" cy="11430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73270</xdr:colOff>
      <xdr:row>30</xdr:row>
      <xdr:rowOff>36635</xdr:rowOff>
    </xdr:from>
    <xdr:to>
      <xdr:col>124</xdr:col>
      <xdr:colOff>190501</xdr:colOff>
      <xdr:row>30</xdr:row>
      <xdr:rowOff>153866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7EF6EB4-CF0F-4673-A679-358E217A1220}"/>
            </a:ext>
          </a:extLst>
        </xdr:cNvPr>
        <xdr:cNvSpPr/>
      </xdr:nvSpPr>
      <xdr:spPr>
        <a:xfrm>
          <a:off x="55407917" y="637916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73269</xdr:colOff>
      <xdr:row>29</xdr:row>
      <xdr:rowOff>65941</xdr:rowOff>
    </xdr:from>
    <xdr:to>
      <xdr:col>124</xdr:col>
      <xdr:colOff>190500</xdr:colOff>
      <xdr:row>29</xdr:row>
      <xdr:rowOff>183172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EC6BDDAF-F3E5-4BDE-989C-EBA92DF891D4}"/>
            </a:ext>
          </a:extLst>
        </xdr:cNvPr>
        <xdr:cNvSpPr/>
      </xdr:nvSpPr>
      <xdr:spPr>
        <a:xfrm>
          <a:off x="55407916" y="61619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73270</xdr:colOff>
      <xdr:row>26</xdr:row>
      <xdr:rowOff>36635</xdr:rowOff>
    </xdr:from>
    <xdr:to>
      <xdr:col>124</xdr:col>
      <xdr:colOff>190501</xdr:colOff>
      <xdr:row>26</xdr:row>
      <xdr:rowOff>153866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D11C4A42-4785-47EF-ADC7-3A23885DBE21}"/>
            </a:ext>
          </a:extLst>
        </xdr:cNvPr>
        <xdr:cNvSpPr/>
      </xdr:nvSpPr>
      <xdr:spPr>
        <a:xfrm>
          <a:off x="55407917" y="5090488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73269</xdr:colOff>
      <xdr:row>25</xdr:row>
      <xdr:rowOff>65941</xdr:rowOff>
    </xdr:from>
    <xdr:to>
      <xdr:col>124</xdr:col>
      <xdr:colOff>190500</xdr:colOff>
      <xdr:row>25</xdr:row>
      <xdr:rowOff>183172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BFBE536C-DA27-4740-B149-56A3DFC80683}"/>
            </a:ext>
          </a:extLst>
        </xdr:cNvPr>
        <xdr:cNvSpPr/>
      </xdr:nvSpPr>
      <xdr:spPr>
        <a:xfrm>
          <a:off x="55407916" y="480602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142</xdr:col>
      <xdr:colOff>212911</xdr:colOff>
      <xdr:row>53</xdr:row>
      <xdr:rowOff>212913</xdr:rowOff>
    </xdr:from>
    <xdr:to>
      <xdr:col>143</xdr:col>
      <xdr:colOff>569819</xdr:colOff>
      <xdr:row>63</xdr:row>
      <xdr:rowOff>220757</xdr:rowOff>
    </xdr:to>
    <xdr:sp macro="" textlink="">
      <xdr:nvSpPr>
        <xdr:cNvPr id="105" name="Rectangle: Rounded Corners 104">
          <a:extLst>
            <a:ext uri="{FF2B5EF4-FFF2-40B4-BE49-F238E27FC236}">
              <a16:creationId xmlns:a16="http://schemas.microsoft.com/office/drawing/2014/main" id="{E2F71E35-0733-4D60-8CDC-77F514C537FA}"/>
            </a:ext>
          </a:extLst>
        </xdr:cNvPr>
        <xdr:cNvSpPr/>
      </xdr:nvSpPr>
      <xdr:spPr>
        <a:xfrm>
          <a:off x="65016529" y="11620501"/>
          <a:ext cx="648261" cy="2181785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oneCellAnchor>
    <xdr:from>
      <xdr:col>148</xdr:col>
      <xdr:colOff>33618</xdr:colOff>
      <xdr:row>62</xdr:row>
      <xdr:rowOff>11206</xdr:rowOff>
    </xdr:from>
    <xdr:ext cx="2218765" cy="284458"/>
    <xdr:pic>
      <xdr:nvPicPr>
        <xdr:cNvPr id="106" name="Picture 105">
          <a:extLst>
            <a:ext uri="{FF2B5EF4-FFF2-40B4-BE49-F238E27FC236}">
              <a16:creationId xmlns:a16="http://schemas.microsoft.com/office/drawing/2014/main" id="{BD415FA4-7D8E-4D03-81B7-F7860CCAD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84030" y="13357412"/>
          <a:ext cx="2218765" cy="284458"/>
        </a:xfrm>
        <a:prstGeom prst="rect">
          <a:avLst/>
        </a:prstGeom>
      </xdr:spPr>
    </xdr:pic>
    <xdr:clientData/>
  </xdr:oneCellAnchor>
  <xdr:twoCellAnchor>
    <xdr:from>
      <xdr:col>124</xdr:col>
      <xdr:colOff>73270</xdr:colOff>
      <xdr:row>26</xdr:row>
      <xdr:rowOff>36635</xdr:rowOff>
    </xdr:from>
    <xdr:to>
      <xdr:col>124</xdr:col>
      <xdr:colOff>190501</xdr:colOff>
      <xdr:row>26</xdr:row>
      <xdr:rowOff>153866</xdr:rowOff>
    </xdr:to>
    <xdr:sp macro="" textlink="">
      <xdr:nvSpPr>
        <xdr:cNvPr id="109" name="Flowchart: Connector 108">
          <a:extLst>
            <a:ext uri="{FF2B5EF4-FFF2-40B4-BE49-F238E27FC236}">
              <a16:creationId xmlns:a16="http://schemas.microsoft.com/office/drawing/2014/main" id="{911F525E-671F-4286-B2CA-CC0C139A3FAE}"/>
            </a:ext>
          </a:extLst>
        </xdr:cNvPr>
        <xdr:cNvSpPr/>
      </xdr:nvSpPr>
      <xdr:spPr>
        <a:xfrm>
          <a:off x="55407917" y="5090488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73269</xdr:colOff>
      <xdr:row>25</xdr:row>
      <xdr:rowOff>65941</xdr:rowOff>
    </xdr:from>
    <xdr:to>
      <xdr:col>124</xdr:col>
      <xdr:colOff>190500</xdr:colOff>
      <xdr:row>25</xdr:row>
      <xdr:rowOff>183172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6F22164-FC13-4A97-9608-AD797464A5A8}"/>
            </a:ext>
          </a:extLst>
        </xdr:cNvPr>
        <xdr:cNvSpPr/>
      </xdr:nvSpPr>
      <xdr:spPr>
        <a:xfrm>
          <a:off x="55407916" y="4806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73270</xdr:colOff>
      <xdr:row>34</xdr:row>
      <xdr:rowOff>36635</xdr:rowOff>
    </xdr:from>
    <xdr:to>
      <xdr:col>124</xdr:col>
      <xdr:colOff>190501</xdr:colOff>
      <xdr:row>34</xdr:row>
      <xdr:rowOff>153866</xdr:rowOff>
    </xdr:to>
    <xdr:sp macro="" textlink="">
      <xdr:nvSpPr>
        <xdr:cNvPr id="163" name="Flowchart: Connector 162">
          <a:extLst>
            <a:ext uri="{FF2B5EF4-FFF2-40B4-BE49-F238E27FC236}">
              <a16:creationId xmlns:a16="http://schemas.microsoft.com/office/drawing/2014/main" id="{26DACF6E-9F29-4492-B3C3-93F99D874C2E}"/>
            </a:ext>
          </a:extLst>
        </xdr:cNvPr>
        <xdr:cNvSpPr/>
      </xdr:nvSpPr>
      <xdr:spPr>
        <a:xfrm>
          <a:off x="55407917" y="751095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73269</xdr:colOff>
      <xdr:row>33</xdr:row>
      <xdr:rowOff>65941</xdr:rowOff>
    </xdr:from>
    <xdr:to>
      <xdr:col>124</xdr:col>
      <xdr:colOff>190500</xdr:colOff>
      <xdr:row>33</xdr:row>
      <xdr:rowOff>183172</xdr:rowOff>
    </xdr:to>
    <xdr:sp macro="" textlink="">
      <xdr:nvSpPr>
        <xdr:cNvPr id="164" name="Flowchart: Connector 163">
          <a:extLst>
            <a:ext uri="{FF2B5EF4-FFF2-40B4-BE49-F238E27FC236}">
              <a16:creationId xmlns:a16="http://schemas.microsoft.com/office/drawing/2014/main" id="{943293E0-5AF4-43BE-A868-D5EB8A4C4CD9}"/>
            </a:ext>
          </a:extLst>
        </xdr:cNvPr>
        <xdr:cNvSpPr/>
      </xdr:nvSpPr>
      <xdr:spPr>
        <a:xfrm>
          <a:off x="55407916" y="7125647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73270</xdr:colOff>
      <xdr:row>30</xdr:row>
      <xdr:rowOff>36635</xdr:rowOff>
    </xdr:from>
    <xdr:to>
      <xdr:col>124</xdr:col>
      <xdr:colOff>190501</xdr:colOff>
      <xdr:row>30</xdr:row>
      <xdr:rowOff>153866</xdr:rowOff>
    </xdr:to>
    <xdr:sp macro="" textlink="">
      <xdr:nvSpPr>
        <xdr:cNvPr id="165" name="Flowchart: Connector 164">
          <a:extLst>
            <a:ext uri="{FF2B5EF4-FFF2-40B4-BE49-F238E27FC236}">
              <a16:creationId xmlns:a16="http://schemas.microsoft.com/office/drawing/2014/main" id="{E998817E-0E37-4856-A225-B4D74385ADA4}"/>
            </a:ext>
          </a:extLst>
        </xdr:cNvPr>
        <xdr:cNvSpPr/>
      </xdr:nvSpPr>
      <xdr:spPr>
        <a:xfrm>
          <a:off x="55407917" y="6379164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124</xdr:col>
      <xdr:colOff>73269</xdr:colOff>
      <xdr:row>29</xdr:row>
      <xdr:rowOff>65941</xdr:rowOff>
    </xdr:from>
    <xdr:to>
      <xdr:col>124</xdr:col>
      <xdr:colOff>190500</xdr:colOff>
      <xdr:row>29</xdr:row>
      <xdr:rowOff>183172</xdr:rowOff>
    </xdr:to>
    <xdr:sp macro="" textlink="">
      <xdr:nvSpPr>
        <xdr:cNvPr id="166" name="Flowchart: Connector 165">
          <a:extLst>
            <a:ext uri="{FF2B5EF4-FFF2-40B4-BE49-F238E27FC236}">
              <a16:creationId xmlns:a16="http://schemas.microsoft.com/office/drawing/2014/main" id="{E9C8EC25-BF99-42F0-A80F-CD6E69FEBD07}"/>
            </a:ext>
          </a:extLst>
        </xdr:cNvPr>
        <xdr:cNvSpPr/>
      </xdr:nvSpPr>
      <xdr:spPr>
        <a:xfrm>
          <a:off x="55407916" y="61619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144</xdr:col>
      <xdr:colOff>224118</xdr:colOff>
      <xdr:row>77</xdr:row>
      <xdr:rowOff>257735</xdr:rowOff>
    </xdr:from>
    <xdr:to>
      <xdr:col>149</xdr:col>
      <xdr:colOff>649942</xdr:colOff>
      <xdr:row>82</xdr:row>
      <xdr:rowOff>175348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6E8E1867-95A9-12B8-AD93-5A3D66DA6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874353" y="17145000"/>
          <a:ext cx="7933765" cy="993377"/>
        </a:xfrm>
        <a:prstGeom prst="rect">
          <a:avLst/>
        </a:prstGeom>
      </xdr:spPr>
    </xdr:pic>
    <xdr:clientData/>
  </xdr:twoCellAnchor>
  <xdr:twoCellAnchor editAs="oneCell">
    <xdr:from>
      <xdr:col>145</xdr:col>
      <xdr:colOff>0</xdr:colOff>
      <xdr:row>86</xdr:row>
      <xdr:rowOff>0</xdr:rowOff>
    </xdr:from>
    <xdr:to>
      <xdr:col>147</xdr:col>
      <xdr:colOff>712613</xdr:colOff>
      <xdr:row>96</xdr:row>
      <xdr:rowOff>134471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1A74CD88-AC55-62AF-7113-4DDB7C90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896765" y="18769853"/>
          <a:ext cx="4018348" cy="2106706"/>
        </a:xfrm>
        <a:prstGeom prst="rect">
          <a:avLst/>
        </a:prstGeom>
      </xdr:spPr>
    </xdr:pic>
    <xdr:clientData/>
  </xdr:twoCellAnchor>
  <xdr:oneCellAnchor>
    <xdr:from>
      <xdr:col>182</xdr:col>
      <xdr:colOff>600075</xdr:colOff>
      <xdr:row>5</xdr:row>
      <xdr:rowOff>0</xdr:rowOff>
    </xdr:from>
    <xdr:ext cx="1386163" cy="690389"/>
    <xdr:pic>
      <xdr:nvPicPr>
        <xdr:cNvPr id="171" name="Picture 170">
          <a:extLst>
            <a:ext uri="{FF2B5EF4-FFF2-40B4-BE49-F238E27FC236}">
              <a16:creationId xmlns:a16="http://schemas.microsoft.com/office/drawing/2014/main" id="{FDA8C547-6C00-4B34-B9BE-1979F585F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39515" y="504265"/>
          <a:ext cx="1386163" cy="690389"/>
        </a:xfrm>
        <a:prstGeom prst="rect">
          <a:avLst/>
        </a:prstGeom>
      </xdr:spPr>
    </xdr:pic>
    <xdr:clientData/>
  </xdr:oneCellAnchor>
  <xdr:twoCellAnchor>
    <xdr:from>
      <xdr:col>182</xdr:col>
      <xdr:colOff>235324</xdr:colOff>
      <xdr:row>12</xdr:row>
      <xdr:rowOff>171447</xdr:rowOff>
    </xdr:from>
    <xdr:to>
      <xdr:col>183</xdr:col>
      <xdr:colOff>592232</xdr:colOff>
      <xdr:row>22</xdr:row>
      <xdr:rowOff>156880</xdr:rowOff>
    </xdr:to>
    <xdr:sp macro="" textlink="">
      <xdr:nvSpPr>
        <xdr:cNvPr id="172" name="Rectangle: Rounded Corners 171">
          <a:extLst>
            <a:ext uri="{FF2B5EF4-FFF2-40B4-BE49-F238E27FC236}">
              <a16:creationId xmlns:a16="http://schemas.microsoft.com/office/drawing/2014/main" id="{6C210075-F5E5-4E33-BD1A-824C317BBBEE}"/>
            </a:ext>
          </a:extLst>
        </xdr:cNvPr>
        <xdr:cNvSpPr/>
      </xdr:nvSpPr>
      <xdr:spPr>
        <a:xfrm>
          <a:off x="91989089" y="1919565"/>
          <a:ext cx="648261" cy="21145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twoCellAnchor>
    <xdr:from>
      <xdr:col>184</xdr:col>
      <xdr:colOff>8405</xdr:colOff>
      <xdr:row>10</xdr:row>
      <xdr:rowOff>56589</xdr:rowOff>
    </xdr:from>
    <xdr:to>
      <xdr:col>192</xdr:col>
      <xdr:colOff>213059</xdr:colOff>
      <xdr:row>12</xdr:row>
      <xdr:rowOff>170889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E5C2913D-8D5B-4BC6-9F4B-BE9243799651}"/>
            </a:ext>
            <a:ext uri="{147F2762-F138-4A5C-976F-8EAC2B608ADB}">
              <a16:predDERef xmlns:a16="http://schemas.microsoft.com/office/drawing/2014/main" pred="{F0131444-B0A8-A7A9-F5CE-638AF88C1CA4}"/>
            </a:ext>
          </a:extLst>
        </xdr:cNvPr>
        <xdr:cNvGrpSpPr/>
      </xdr:nvGrpSpPr>
      <xdr:grpSpPr>
        <a:xfrm>
          <a:off x="119608787" y="1995207"/>
          <a:ext cx="10850243" cy="495300"/>
          <a:chOff x="1171736" y="7408232"/>
          <a:chExt cx="8100392" cy="495300"/>
        </a:xfrm>
      </xdr:grpSpPr>
      <xdr:sp macro="" textlink="">
        <xdr:nvSpPr>
          <xdr:cNvPr id="174" name="Rectangle: Top Corners One Rounded and One Snipped 173">
            <a:extLst>
              <a:ext uri="{FF2B5EF4-FFF2-40B4-BE49-F238E27FC236}">
                <a16:creationId xmlns:a16="http://schemas.microsoft.com/office/drawing/2014/main" id="{AC715EC8-A8F6-98E4-9328-3ED96712932E}"/>
              </a:ext>
            </a:extLst>
          </xdr:cNvPr>
          <xdr:cNvSpPr/>
        </xdr:nvSpPr>
        <xdr:spPr>
          <a:xfrm>
            <a:off x="1171736" y="7408232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Dokumen Syarat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175" name="Rectangle: Top Corners One Rounded and One Snipped 174">
            <a:extLst>
              <a:ext uri="{FF2B5EF4-FFF2-40B4-BE49-F238E27FC236}">
                <a16:creationId xmlns:a16="http://schemas.microsoft.com/office/drawing/2014/main" id="{B0858E12-E7DB-B600-4CC5-A6482E1A764E}"/>
              </a:ext>
            </a:extLst>
          </xdr:cNvPr>
          <xdr:cNvSpPr/>
        </xdr:nvSpPr>
        <xdr:spPr>
          <a:xfrm>
            <a:off x="3222507" y="7417757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6" name="Rectangle: Top Corners One Rounded and One Snipped 175">
            <a:extLst>
              <a:ext uri="{FF2B5EF4-FFF2-40B4-BE49-F238E27FC236}">
                <a16:creationId xmlns:a16="http://schemas.microsoft.com/office/drawing/2014/main" id="{3EB11B82-C581-523D-6CFD-F88DEF553185}"/>
              </a:ext>
            </a:extLst>
          </xdr:cNvPr>
          <xdr:cNvSpPr/>
        </xdr:nvSpPr>
        <xdr:spPr>
          <a:xfrm>
            <a:off x="5258968" y="7420478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7" name="Rectangle: Top Corners One Rounded and One Snipped 176">
            <a:extLst>
              <a:ext uri="{FF2B5EF4-FFF2-40B4-BE49-F238E27FC236}">
                <a16:creationId xmlns:a16="http://schemas.microsoft.com/office/drawing/2014/main" id="{2CB5A394-97B0-59CF-BB74-048B221A1D96}"/>
              </a:ext>
            </a:extLst>
          </xdr:cNvPr>
          <xdr:cNvSpPr/>
        </xdr:nvSpPr>
        <xdr:spPr>
          <a:xfrm>
            <a:off x="7297555" y="7427282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182</xdr:col>
      <xdr:colOff>274543</xdr:colOff>
      <xdr:row>48</xdr:row>
      <xdr:rowOff>561</xdr:rowOff>
    </xdr:from>
    <xdr:ext cx="1171014" cy="659674"/>
    <xdr:pic>
      <xdr:nvPicPr>
        <xdr:cNvPr id="178" name="Picture 177">
          <a:extLst>
            <a:ext uri="{FF2B5EF4-FFF2-40B4-BE49-F238E27FC236}">
              <a16:creationId xmlns:a16="http://schemas.microsoft.com/office/drawing/2014/main" id="{33991415-3E02-4A26-BADC-A8DBD041E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8308" y="10388414"/>
          <a:ext cx="1171014" cy="659674"/>
        </a:xfrm>
        <a:prstGeom prst="rect">
          <a:avLst/>
        </a:prstGeom>
      </xdr:spPr>
    </xdr:pic>
    <xdr:clientData/>
  </xdr:oneCellAnchor>
  <xdr:twoCellAnchor>
    <xdr:from>
      <xdr:col>183</xdr:col>
      <xdr:colOff>568577</xdr:colOff>
      <xdr:row>51</xdr:row>
      <xdr:rowOff>106650</xdr:rowOff>
    </xdr:from>
    <xdr:to>
      <xdr:col>192</xdr:col>
      <xdr:colOff>86870</xdr:colOff>
      <xdr:row>53</xdr:row>
      <xdr:rowOff>158561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1F4E06FA-F49D-44D9-A19E-EEF7EB70C674}"/>
            </a:ext>
          </a:extLst>
        </xdr:cNvPr>
        <xdr:cNvGrpSpPr/>
      </xdr:nvGrpSpPr>
      <xdr:grpSpPr>
        <a:xfrm>
          <a:off x="119563842" y="11637503"/>
          <a:ext cx="10768999" cy="500146"/>
          <a:chOff x="1093304" y="7339227"/>
          <a:chExt cx="8100392" cy="495300"/>
        </a:xfrm>
      </xdr:grpSpPr>
      <xdr:sp macro="" textlink="">
        <xdr:nvSpPr>
          <xdr:cNvPr id="180" name="Rectangle: Top Corners One Rounded and One Snipped 179">
            <a:extLst>
              <a:ext uri="{FF2B5EF4-FFF2-40B4-BE49-F238E27FC236}">
                <a16:creationId xmlns:a16="http://schemas.microsoft.com/office/drawing/2014/main" id="{7B1E6E8C-8A1B-785E-BA99-E11BE21AC2EF}"/>
              </a:ext>
            </a:extLst>
          </xdr:cNvPr>
          <xdr:cNvSpPr/>
        </xdr:nvSpPr>
        <xdr:spPr>
          <a:xfrm>
            <a:off x="1093304" y="7339227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Dokumen Syarat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1" name="Rectangle: Top Corners One Rounded and One Snipped 180">
            <a:extLst>
              <a:ext uri="{FF2B5EF4-FFF2-40B4-BE49-F238E27FC236}">
                <a16:creationId xmlns:a16="http://schemas.microsoft.com/office/drawing/2014/main" id="{A248BB8B-E453-0AF1-64A6-BA6F20ED9C8C}"/>
              </a:ext>
            </a:extLst>
          </xdr:cNvPr>
          <xdr:cNvSpPr/>
        </xdr:nvSpPr>
        <xdr:spPr>
          <a:xfrm>
            <a:off x="3144076" y="7348751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2" name="Rectangle: Top Corners One Rounded and One Snipped 181">
            <a:extLst>
              <a:ext uri="{FF2B5EF4-FFF2-40B4-BE49-F238E27FC236}">
                <a16:creationId xmlns:a16="http://schemas.microsoft.com/office/drawing/2014/main" id="{1B943FDD-66C1-11D9-E004-DABA8BC6CD75}"/>
              </a:ext>
            </a:extLst>
          </xdr:cNvPr>
          <xdr:cNvSpPr/>
        </xdr:nvSpPr>
        <xdr:spPr>
          <a:xfrm>
            <a:off x="5180536" y="7351472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3" name="Rectangle: Top Corners One Rounded and One Snipped 182">
            <a:extLst>
              <a:ext uri="{FF2B5EF4-FFF2-40B4-BE49-F238E27FC236}">
                <a16:creationId xmlns:a16="http://schemas.microsoft.com/office/drawing/2014/main" id="{884A9528-4002-8A7E-9E1E-B3B2A1632369}"/>
              </a:ext>
            </a:extLst>
          </xdr:cNvPr>
          <xdr:cNvSpPr/>
        </xdr:nvSpPr>
        <xdr:spPr>
          <a:xfrm>
            <a:off x="7219123" y="7358277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162</xdr:col>
      <xdr:colOff>143071</xdr:colOff>
      <xdr:row>4</xdr:row>
      <xdr:rowOff>259684</xdr:rowOff>
    </xdr:from>
    <xdr:ext cx="1396126" cy="783366"/>
    <xdr:pic>
      <xdr:nvPicPr>
        <xdr:cNvPr id="184" name="Picture 183">
          <a:extLst>
            <a:ext uri="{FF2B5EF4-FFF2-40B4-BE49-F238E27FC236}">
              <a16:creationId xmlns:a16="http://schemas.microsoft.com/office/drawing/2014/main" id="{55482C9C-196C-4F1A-9A52-1726065DB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08983" y="450184"/>
          <a:ext cx="1396126" cy="783366"/>
        </a:xfrm>
        <a:prstGeom prst="rect">
          <a:avLst/>
        </a:prstGeom>
      </xdr:spPr>
    </xdr:pic>
    <xdr:clientData/>
  </xdr:oneCellAnchor>
  <xdr:twoCellAnchor>
    <xdr:from>
      <xdr:col>177</xdr:col>
      <xdr:colOff>28419</xdr:colOff>
      <xdr:row>10</xdr:row>
      <xdr:rowOff>63357</xdr:rowOff>
    </xdr:from>
    <xdr:to>
      <xdr:col>179</xdr:col>
      <xdr:colOff>9055</xdr:colOff>
      <xdr:row>12</xdr:row>
      <xdr:rowOff>158607</xdr:rowOff>
    </xdr:to>
    <xdr:sp macro="" textlink="">
      <xdr:nvSpPr>
        <xdr:cNvPr id="185" name="Rectangle: Top Corners One Rounded and One Snipped 184">
          <a:extLst>
            <a:ext uri="{FF2B5EF4-FFF2-40B4-BE49-F238E27FC236}">
              <a16:creationId xmlns:a16="http://schemas.microsoft.com/office/drawing/2014/main" id="{3B6A3808-0DCC-43B9-B7BD-CF37D49B8D11}"/>
            </a:ext>
          </a:extLst>
        </xdr:cNvPr>
        <xdr:cNvSpPr/>
      </xdr:nvSpPr>
      <xdr:spPr>
        <a:xfrm>
          <a:off x="89003125" y="1430475"/>
          <a:ext cx="170634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163</xdr:col>
      <xdr:colOff>773</xdr:colOff>
      <xdr:row>9</xdr:row>
      <xdr:rowOff>178981</xdr:rowOff>
    </xdr:from>
    <xdr:to>
      <xdr:col>169</xdr:col>
      <xdr:colOff>784412</xdr:colOff>
      <xdr:row>12</xdr:row>
      <xdr:rowOff>168088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D4B3C3B0-7AF8-49C7-8259-C489CCBC04F1}"/>
            </a:ext>
          </a:extLst>
        </xdr:cNvPr>
        <xdr:cNvGrpSpPr/>
      </xdr:nvGrpSpPr>
      <xdr:grpSpPr>
        <a:xfrm>
          <a:off x="109078832" y="1927099"/>
          <a:ext cx="3338580" cy="560607"/>
          <a:chOff x="14047281" y="1355168"/>
          <a:chExt cx="3543952" cy="486295"/>
        </a:xfrm>
      </xdr:grpSpPr>
      <xdr:sp macro="" textlink="">
        <xdr:nvSpPr>
          <xdr:cNvPr id="187" name="Rectangle: Top Corners One Rounded and One Snipped 186">
            <a:extLst>
              <a:ext uri="{FF2B5EF4-FFF2-40B4-BE49-F238E27FC236}">
                <a16:creationId xmlns:a16="http://schemas.microsoft.com/office/drawing/2014/main" id="{1A538B0A-86B2-2F1B-75BA-DE0108157F08}"/>
              </a:ext>
            </a:extLst>
          </xdr:cNvPr>
          <xdr:cNvSpPr/>
        </xdr:nvSpPr>
        <xdr:spPr>
          <a:xfrm>
            <a:off x="14047281" y="1355168"/>
            <a:ext cx="1754562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8" name="Rectangle: Top Corners One Rounded and One Snipped 187">
            <a:extLst>
              <a:ext uri="{FF2B5EF4-FFF2-40B4-BE49-F238E27FC236}">
                <a16:creationId xmlns:a16="http://schemas.microsoft.com/office/drawing/2014/main" id="{A7B297B2-432C-B4DB-2B96-694C887DFF0B}"/>
              </a:ext>
            </a:extLst>
          </xdr:cNvPr>
          <xdr:cNvSpPr/>
        </xdr:nvSpPr>
        <xdr:spPr>
          <a:xfrm>
            <a:off x="15902616" y="1365213"/>
            <a:ext cx="1688617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173</xdr:col>
      <xdr:colOff>415279</xdr:colOff>
      <xdr:row>10</xdr:row>
      <xdr:rowOff>61892</xdr:rowOff>
    </xdr:from>
    <xdr:to>
      <xdr:col>177</xdr:col>
      <xdr:colOff>7589</xdr:colOff>
      <xdr:row>12</xdr:row>
      <xdr:rowOff>157142</xdr:rowOff>
    </xdr:to>
    <xdr:sp macro="" textlink="">
      <xdr:nvSpPr>
        <xdr:cNvPr id="189" name="Rectangle: Top Corners One Rounded and One Snipped 188">
          <a:extLst>
            <a:ext uri="{FF2B5EF4-FFF2-40B4-BE49-F238E27FC236}">
              <a16:creationId xmlns:a16="http://schemas.microsoft.com/office/drawing/2014/main" id="{F04E05C2-EE3D-4511-8059-C1932A184EF9}"/>
            </a:ext>
          </a:extLst>
        </xdr:cNvPr>
        <xdr:cNvSpPr/>
      </xdr:nvSpPr>
      <xdr:spPr>
        <a:xfrm>
          <a:off x="87283279" y="1429010"/>
          <a:ext cx="1699016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169</xdr:col>
      <xdr:colOff>853430</xdr:colOff>
      <xdr:row>10</xdr:row>
      <xdr:rowOff>60426</xdr:rowOff>
    </xdr:from>
    <xdr:to>
      <xdr:col>173</xdr:col>
      <xdr:colOff>379797</xdr:colOff>
      <xdr:row>12</xdr:row>
      <xdr:rowOff>155676</xdr:rowOff>
    </xdr:to>
    <xdr:sp macro="" textlink="">
      <xdr:nvSpPr>
        <xdr:cNvPr id="190" name="Rectangle: Top Corners One Rounded and One Snipped 189">
          <a:extLst>
            <a:ext uri="{FF2B5EF4-FFF2-40B4-BE49-F238E27FC236}">
              <a16:creationId xmlns:a16="http://schemas.microsoft.com/office/drawing/2014/main" id="{809DDA59-1F4C-4D7C-808A-8F2A7AD17853}"/>
            </a:ext>
          </a:extLst>
        </xdr:cNvPr>
        <xdr:cNvSpPr/>
      </xdr:nvSpPr>
      <xdr:spPr>
        <a:xfrm>
          <a:off x="85536283" y="1427544"/>
          <a:ext cx="1711514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162</xdr:col>
      <xdr:colOff>392205</xdr:colOff>
      <xdr:row>12</xdr:row>
      <xdr:rowOff>155708</xdr:rowOff>
    </xdr:from>
    <xdr:to>
      <xdr:col>163</xdr:col>
      <xdr:colOff>2644</xdr:colOff>
      <xdr:row>20</xdr:row>
      <xdr:rowOff>33617</xdr:rowOff>
    </xdr:to>
    <xdr:sp macro="" textlink="">
      <xdr:nvSpPr>
        <xdr:cNvPr id="191" name="Rectangle: Rounded Corners 190">
          <a:extLst>
            <a:ext uri="{FF2B5EF4-FFF2-40B4-BE49-F238E27FC236}">
              <a16:creationId xmlns:a16="http://schemas.microsoft.com/office/drawing/2014/main" id="{F317964A-F7C5-42E3-BA48-DBCED16EDCA6}"/>
            </a:ext>
          </a:extLst>
        </xdr:cNvPr>
        <xdr:cNvSpPr/>
      </xdr:nvSpPr>
      <xdr:spPr>
        <a:xfrm>
          <a:off x="81758117" y="1903826"/>
          <a:ext cx="372439" cy="14803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SEWA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V</a:t>
          </a:r>
          <a:endParaRPr lang="en-ID" sz="1200">
            <a:effectLst/>
          </a:endParaRPr>
        </a:p>
      </xdr:txBody>
    </xdr:sp>
    <xdr:clientData/>
  </xdr:twoCellAnchor>
  <xdr:twoCellAnchor>
    <xdr:from>
      <xdr:col>164</xdr:col>
      <xdr:colOff>73270</xdr:colOff>
      <xdr:row>22</xdr:row>
      <xdr:rowOff>36635</xdr:rowOff>
    </xdr:from>
    <xdr:to>
      <xdr:col>164</xdr:col>
      <xdr:colOff>190501</xdr:colOff>
      <xdr:row>22</xdr:row>
      <xdr:rowOff>153866</xdr:rowOff>
    </xdr:to>
    <xdr:sp macro="" textlink="">
      <xdr:nvSpPr>
        <xdr:cNvPr id="192" name="Flowchart: Connector 191">
          <a:extLst>
            <a:ext uri="{FF2B5EF4-FFF2-40B4-BE49-F238E27FC236}">
              <a16:creationId xmlns:a16="http://schemas.microsoft.com/office/drawing/2014/main" id="{999D79C4-D30B-4320-885D-E08B32882AF3}"/>
            </a:ext>
          </a:extLst>
        </xdr:cNvPr>
        <xdr:cNvSpPr/>
      </xdr:nvSpPr>
      <xdr:spPr>
        <a:xfrm>
          <a:off x="82358064" y="3913870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164</xdr:col>
      <xdr:colOff>73269</xdr:colOff>
      <xdr:row>21</xdr:row>
      <xdr:rowOff>65941</xdr:rowOff>
    </xdr:from>
    <xdr:to>
      <xdr:col>164</xdr:col>
      <xdr:colOff>190500</xdr:colOff>
      <xdr:row>21</xdr:row>
      <xdr:rowOff>183172</xdr:rowOff>
    </xdr:to>
    <xdr:sp macro="" textlink="">
      <xdr:nvSpPr>
        <xdr:cNvPr id="193" name="Flowchart: Connector 192">
          <a:extLst>
            <a:ext uri="{FF2B5EF4-FFF2-40B4-BE49-F238E27FC236}">
              <a16:creationId xmlns:a16="http://schemas.microsoft.com/office/drawing/2014/main" id="{BFDB7D1E-445E-44C2-BF04-AF0CCFA11EB7}"/>
            </a:ext>
          </a:extLst>
        </xdr:cNvPr>
        <xdr:cNvSpPr/>
      </xdr:nvSpPr>
      <xdr:spPr>
        <a:xfrm>
          <a:off x="82358063" y="3663029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65943</xdr:colOff>
      <xdr:row>16</xdr:row>
      <xdr:rowOff>36634</xdr:rowOff>
    </xdr:from>
    <xdr:to>
      <xdr:col>164</xdr:col>
      <xdr:colOff>183174</xdr:colOff>
      <xdr:row>16</xdr:row>
      <xdr:rowOff>153865</xdr:rowOff>
    </xdr:to>
    <xdr:sp macro="" textlink="">
      <xdr:nvSpPr>
        <xdr:cNvPr id="194" name="Flowchart: Connector 193">
          <a:extLst>
            <a:ext uri="{FF2B5EF4-FFF2-40B4-BE49-F238E27FC236}">
              <a16:creationId xmlns:a16="http://schemas.microsoft.com/office/drawing/2014/main" id="{78041488-E9E6-4DD5-97D4-43264BBD7BE5}"/>
            </a:ext>
          </a:extLst>
        </xdr:cNvPr>
        <xdr:cNvSpPr/>
      </xdr:nvSpPr>
      <xdr:spPr>
        <a:xfrm>
          <a:off x="82350737" y="264760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65943</xdr:colOff>
      <xdr:row>17</xdr:row>
      <xdr:rowOff>36634</xdr:rowOff>
    </xdr:from>
    <xdr:to>
      <xdr:col>164</xdr:col>
      <xdr:colOff>183174</xdr:colOff>
      <xdr:row>17</xdr:row>
      <xdr:rowOff>153865</xdr:rowOff>
    </xdr:to>
    <xdr:sp macro="" textlink="">
      <xdr:nvSpPr>
        <xdr:cNvPr id="195" name="Flowchart: Connector 194">
          <a:extLst>
            <a:ext uri="{FF2B5EF4-FFF2-40B4-BE49-F238E27FC236}">
              <a16:creationId xmlns:a16="http://schemas.microsoft.com/office/drawing/2014/main" id="{56494529-142E-442A-80C6-D5394236E00C}"/>
            </a:ext>
          </a:extLst>
        </xdr:cNvPr>
        <xdr:cNvSpPr/>
      </xdr:nvSpPr>
      <xdr:spPr>
        <a:xfrm>
          <a:off x="82350737" y="2838105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63744</xdr:colOff>
      <xdr:row>16</xdr:row>
      <xdr:rowOff>38099</xdr:rowOff>
    </xdr:from>
    <xdr:to>
      <xdr:col>164</xdr:col>
      <xdr:colOff>171450</xdr:colOff>
      <xdr:row>16</xdr:row>
      <xdr:rowOff>152400</xdr:rowOff>
    </xdr:to>
    <xdr:sp macro="" textlink="">
      <xdr:nvSpPr>
        <xdr:cNvPr id="196" name="Flowchart: Connector 195">
          <a:extLst>
            <a:ext uri="{FF2B5EF4-FFF2-40B4-BE49-F238E27FC236}">
              <a16:creationId xmlns:a16="http://schemas.microsoft.com/office/drawing/2014/main" id="{E9F6348D-04E9-4B64-92BD-2C1C2FF980A1}"/>
            </a:ext>
          </a:extLst>
        </xdr:cNvPr>
        <xdr:cNvSpPr/>
      </xdr:nvSpPr>
      <xdr:spPr>
        <a:xfrm>
          <a:off x="82348538" y="2649070"/>
          <a:ext cx="107706" cy="11430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73270</xdr:colOff>
      <xdr:row>30</xdr:row>
      <xdr:rowOff>36635</xdr:rowOff>
    </xdr:from>
    <xdr:to>
      <xdr:col>164</xdr:col>
      <xdr:colOff>190501</xdr:colOff>
      <xdr:row>30</xdr:row>
      <xdr:rowOff>153866</xdr:rowOff>
    </xdr:to>
    <xdr:sp macro="" textlink="">
      <xdr:nvSpPr>
        <xdr:cNvPr id="197" name="Flowchart: Connector 196">
          <a:extLst>
            <a:ext uri="{FF2B5EF4-FFF2-40B4-BE49-F238E27FC236}">
              <a16:creationId xmlns:a16="http://schemas.microsoft.com/office/drawing/2014/main" id="{F71B3812-7D2E-47B7-8E3B-301F66EE2799}"/>
            </a:ext>
          </a:extLst>
        </xdr:cNvPr>
        <xdr:cNvSpPr/>
      </xdr:nvSpPr>
      <xdr:spPr>
        <a:xfrm>
          <a:off x="82358064" y="637916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73269</xdr:colOff>
      <xdr:row>29</xdr:row>
      <xdr:rowOff>65941</xdr:rowOff>
    </xdr:from>
    <xdr:to>
      <xdr:col>164</xdr:col>
      <xdr:colOff>190500</xdr:colOff>
      <xdr:row>29</xdr:row>
      <xdr:rowOff>183172</xdr:rowOff>
    </xdr:to>
    <xdr:sp macro="" textlink="">
      <xdr:nvSpPr>
        <xdr:cNvPr id="198" name="Flowchart: Connector 197">
          <a:extLst>
            <a:ext uri="{FF2B5EF4-FFF2-40B4-BE49-F238E27FC236}">
              <a16:creationId xmlns:a16="http://schemas.microsoft.com/office/drawing/2014/main" id="{8CDCF924-1884-4CD5-A894-2FC87366FBBA}"/>
            </a:ext>
          </a:extLst>
        </xdr:cNvPr>
        <xdr:cNvSpPr/>
      </xdr:nvSpPr>
      <xdr:spPr>
        <a:xfrm>
          <a:off x="82358063" y="61619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73270</xdr:colOff>
      <xdr:row>26</xdr:row>
      <xdr:rowOff>36635</xdr:rowOff>
    </xdr:from>
    <xdr:to>
      <xdr:col>164</xdr:col>
      <xdr:colOff>190501</xdr:colOff>
      <xdr:row>26</xdr:row>
      <xdr:rowOff>153866</xdr:rowOff>
    </xdr:to>
    <xdr:sp macro="" textlink="">
      <xdr:nvSpPr>
        <xdr:cNvPr id="199" name="Flowchart: Connector 198">
          <a:extLst>
            <a:ext uri="{FF2B5EF4-FFF2-40B4-BE49-F238E27FC236}">
              <a16:creationId xmlns:a16="http://schemas.microsoft.com/office/drawing/2014/main" id="{B2C29AEA-4987-4CCD-9028-AB97B9F38273}"/>
            </a:ext>
          </a:extLst>
        </xdr:cNvPr>
        <xdr:cNvSpPr/>
      </xdr:nvSpPr>
      <xdr:spPr>
        <a:xfrm>
          <a:off x="82358064" y="5090488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73269</xdr:colOff>
      <xdr:row>25</xdr:row>
      <xdr:rowOff>65941</xdr:rowOff>
    </xdr:from>
    <xdr:to>
      <xdr:col>164</xdr:col>
      <xdr:colOff>190500</xdr:colOff>
      <xdr:row>25</xdr:row>
      <xdr:rowOff>183172</xdr:rowOff>
    </xdr:to>
    <xdr:sp macro="" textlink="">
      <xdr:nvSpPr>
        <xdr:cNvPr id="200" name="Flowchart: Connector 199">
          <a:extLst>
            <a:ext uri="{FF2B5EF4-FFF2-40B4-BE49-F238E27FC236}">
              <a16:creationId xmlns:a16="http://schemas.microsoft.com/office/drawing/2014/main" id="{CC0B6344-B2E8-4592-979A-DF5605EE64A9}"/>
            </a:ext>
          </a:extLst>
        </xdr:cNvPr>
        <xdr:cNvSpPr/>
      </xdr:nvSpPr>
      <xdr:spPr>
        <a:xfrm>
          <a:off x="82358063" y="480602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182</xdr:col>
      <xdr:colOff>212911</xdr:colOff>
      <xdr:row>53</xdr:row>
      <xdr:rowOff>212913</xdr:rowOff>
    </xdr:from>
    <xdr:to>
      <xdr:col>183</xdr:col>
      <xdr:colOff>569819</xdr:colOff>
      <xdr:row>63</xdr:row>
      <xdr:rowOff>220757</xdr:rowOff>
    </xdr:to>
    <xdr:sp macro="" textlink="">
      <xdr:nvSpPr>
        <xdr:cNvPr id="201" name="Rectangle: Rounded Corners 200">
          <a:extLst>
            <a:ext uri="{FF2B5EF4-FFF2-40B4-BE49-F238E27FC236}">
              <a16:creationId xmlns:a16="http://schemas.microsoft.com/office/drawing/2014/main" id="{3E9B03FE-02DE-4F26-BAF0-EC11298F35F5}"/>
            </a:ext>
          </a:extLst>
        </xdr:cNvPr>
        <xdr:cNvSpPr/>
      </xdr:nvSpPr>
      <xdr:spPr>
        <a:xfrm>
          <a:off x="91966676" y="11620501"/>
          <a:ext cx="648261" cy="2181785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SEWA</a:t>
          </a:r>
          <a:r>
            <a:rPr lang="en-US" sz="1200" b="1" baseline="0"/>
            <a:t> SELAIN</a:t>
          </a:r>
        </a:p>
        <a:p>
          <a:pPr algn="ctr"/>
          <a:r>
            <a:rPr lang="en-US" sz="1200" b="1" baseline="0"/>
            <a:t>TANAH DAN  BANGUNAN</a:t>
          </a:r>
          <a:endParaRPr lang="id-ID" sz="1050" b="1"/>
        </a:p>
      </xdr:txBody>
    </xdr:sp>
    <xdr:clientData/>
  </xdr:twoCellAnchor>
  <xdr:oneCellAnchor>
    <xdr:from>
      <xdr:col>188</xdr:col>
      <xdr:colOff>33618</xdr:colOff>
      <xdr:row>62</xdr:row>
      <xdr:rowOff>11206</xdr:rowOff>
    </xdr:from>
    <xdr:ext cx="2218765" cy="284458"/>
    <xdr:pic>
      <xdr:nvPicPr>
        <xdr:cNvPr id="202" name="Picture 201">
          <a:extLst>
            <a:ext uri="{FF2B5EF4-FFF2-40B4-BE49-F238E27FC236}">
              <a16:creationId xmlns:a16="http://schemas.microsoft.com/office/drawing/2014/main" id="{53AC710C-717C-495F-9ACF-AB925C84F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34177" y="13357412"/>
          <a:ext cx="2218765" cy="284458"/>
        </a:xfrm>
        <a:prstGeom prst="rect">
          <a:avLst/>
        </a:prstGeom>
      </xdr:spPr>
    </xdr:pic>
    <xdr:clientData/>
  </xdr:oneCellAnchor>
  <xdr:twoCellAnchor>
    <xdr:from>
      <xdr:col>164</xdr:col>
      <xdr:colOff>73270</xdr:colOff>
      <xdr:row>26</xdr:row>
      <xdr:rowOff>36635</xdr:rowOff>
    </xdr:from>
    <xdr:to>
      <xdr:col>164</xdr:col>
      <xdr:colOff>190501</xdr:colOff>
      <xdr:row>26</xdr:row>
      <xdr:rowOff>153866</xdr:rowOff>
    </xdr:to>
    <xdr:sp macro="" textlink="">
      <xdr:nvSpPr>
        <xdr:cNvPr id="203" name="Flowchart: Connector 202">
          <a:extLst>
            <a:ext uri="{FF2B5EF4-FFF2-40B4-BE49-F238E27FC236}">
              <a16:creationId xmlns:a16="http://schemas.microsoft.com/office/drawing/2014/main" id="{3922308F-EF25-442A-A2F3-7BB2FEA14525}"/>
            </a:ext>
          </a:extLst>
        </xdr:cNvPr>
        <xdr:cNvSpPr/>
      </xdr:nvSpPr>
      <xdr:spPr>
        <a:xfrm>
          <a:off x="82358064" y="5090488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73269</xdr:colOff>
      <xdr:row>25</xdr:row>
      <xdr:rowOff>65941</xdr:rowOff>
    </xdr:from>
    <xdr:to>
      <xdr:col>164</xdr:col>
      <xdr:colOff>190500</xdr:colOff>
      <xdr:row>25</xdr:row>
      <xdr:rowOff>183172</xdr:rowOff>
    </xdr:to>
    <xdr:sp macro="" textlink="">
      <xdr:nvSpPr>
        <xdr:cNvPr id="204" name="Flowchart: Connector 203">
          <a:extLst>
            <a:ext uri="{FF2B5EF4-FFF2-40B4-BE49-F238E27FC236}">
              <a16:creationId xmlns:a16="http://schemas.microsoft.com/office/drawing/2014/main" id="{FB6E7C09-BFE6-4791-9C95-227FD674A5FA}"/>
            </a:ext>
          </a:extLst>
        </xdr:cNvPr>
        <xdr:cNvSpPr/>
      </xdr:nvSpPr>
      <xdr:spPr>
        <a:xfrm>
          <a:off x="82358063" y="480602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73270</xdr:colOff>
      <xdr:row>34</xdr:row>
      <xdr:rowOff>36635</xdr:rowOff>
    </xdr:from>
    <xdr:to>
      <xdr:col>164</xdr:col>
      <xdr:colOff>190501</xdr:colOff>
      <xdr:row>34</xdr:row>
      <xdr:rowOff>153866</xdr:rowOff>
    </xdr:to>
    <xdr:sp macro="" textlink="">
      <xdr:nvSpPr>
        <xdr:cNvPr id="205" name="Flowchart: Connector 204">
          <a:extLst>
            <a:ext uri="{FF2B5EF4-FFF2-40B4-BE49-F238E27FC236}">
              <a16:creationId xmlns:a16="http://schemas.microsoft.com/office/drawing/2014/main" id="{2E0BE452-6E7C-4044-A1A0-9AD6E9046FF5}"/>
            </a:ext>
          </a:extLst>
        </xdr:cNvPr>
        <xdr:cNvSpPr/>
      </xdr:nvSpPr>
      <xdr:spPr>
        <a:xfrm>
          <a:off x="82358064" y="7510959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73269</xdr:colOff>
      <xdr:row>33</xdr:row>
      <xdr:rowOff>65941</xdr:rowOff>
    </xdr:from>
    <xdr:to>
      <xdr:col>164</xdr:col>
      <xdr:colOff>190500</xdr:colOff>
      <xdr:row>33</xdr:row>
      <xdr:rowOff>183172</xdr:rowOff>
    </xdr:to>
    <xdr:sp macro="" textlink="">
      <xdr:nvSpPr>
        <xdr:cNvPr id="206" name="Flowchart: Connector 205">
          <a:extLst>
            <a:ext uri="{FF2B5EF4-FFF2-40B4-BE49-F238E27FC236}">
              <a16:creationId xmlns:a16="http://schemas.microsoft.com/office/drawing/2014/main" id="{CAE07F77-EE18-448D-85A2-9DF9C6B491E3}"/>
            </a:ext>
          </a:extLst>
        </xdr:cNvPr>
        <xdr:cNvSpPr/>
      </xdr:nvSpPr>
      <xdr:spPr>
        <a:xfrm>
          <a:off x="82358063" y="7125647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73270</xdr:colOff>
      <xdr:row>30</xdr:row>
      <xdr:rowOff>36635</xdr:rowOff>
    </xdr:from>
    <xdr:to>
      <xdr:col>164</xdr:col>
      <xdr:colOff>190501</xdr:colOff>
      <xdr:row>30</xdr:row>
      <xdr:rowOff>153866</xdr:rowOff>
    </xdr:to>
    <xdr:sp macro="" textlink="">
      <xdr:nvSpPr>
        <xdr:cNvPr id="207" name="Flowchart: Connector 206">
          <a:extLst>
            <a:ext uri="{FF2B5EF4-FFF2-40B4-BE49-F238E27FC236}">
              <a16:creationId xmlns:a16="http://schemas.microsoft.com/office/drawing/2014/main" id="{06639510-20E8-4506-8D47-A201D021CE1C}"/>
            </a:ext>
          </a:extLst>
        </xdr:cNvPr>
        <xdr:cNvSpPr/>
      </xdr:nvSpPr>
      <xdr:spPr>
        <a:xfrm>
          <a:off x="82358064" y="6379164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164</xdr:col>
      <xdr:colOff>73269</xdr:colOff>
      <xdr:row>29</xdr:row>
      <xdr:rowOff>65941</xdr:rowOff>
    </xdr:from>
    <xdr:to>
      <xdr:col>164</xdr:col>
      <xdr:colOff>190500</xdr:colOff>
      <xdr:row>29</xdr:row>
      <xdr:rowOff>183172</xdr:rowOff>
    </xdr:to>
    <xdr:sp macro="" textlink="">
      <xdr:nvSpPr>
        <xdr:cNvPr id="208" name="Flowchart: Connector 207">
          <a:extLst>
            <a:ext uri="{FF2B5EF4-FFF2-40B4-BE49-F238E27FC236}">
              <a16:creationId xmlns:a16="http://schemas.microsoft.com/office/drawing/2014/main" id="{BE6A80EE-1209-4293-A0FC-A316DA08A8F4}"/>
            </a:ext>
          </a:extLst>
        </xdr:cNvPr>
        <xdr:cNvSpPr/>
      </xdr:nvSpPr>
      <xdr:spPr>
        <a:xfrm>
          <a:off x="82358063" y="6161941"/>
          <a:ext cx="117231" cy="117231"/>
        </a:xfrm>
        <a:prstGeom prst="flowChartConnector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184</xdr:col>
      <xdr:colOff>224118</xdr:colOff>
      <xdr:row>77</xdr:row>
      <xdr:rowOff>257735</xdr:rowOff>
    </xdr:from>
    <xdr:ext cx="7933765" cy="993377"/>
    <xdr:pic>
      <xdr:nvPicPr>
        <xdr:cNvPr id="209" name="Picture 208">
          <a:extLst>
            <a:ext uri="{FF2B5EF4-FFF2-40B4-BE49-F238E27FC236}">
              <a16:creationId xmlns:a16="http://schemas.microsoft.com/office/drawing/2014/main" id="{20E68CE4-31F4-457D-866F-09A9DF79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874353" y="17145000"/>
          <a:ext cx="7933765" cy="993377"/>
        </a:xfrm>
        <a:prstGeom prst="rect">
          <a:avLst/>
        </a:prstGeom>
      </xdr:spPr>
    </xdr:pic>
    <xdr:clientData/>
  </xdr:oneCellAnchor>
  <xdr:oneCellAnchor>
    <xdr:from>
      <xdr:col>185</xdr:col>
      <xdr:colOff>0</xdr:colOff>
      <xdr:row>86</xdr:row>
      <xdr:rowOff>0</xdr:rowOff>
    </xdr:from>
    <xdr:ext cx="4018348" cy="2106706"/>
    <xdr:pic>
      <xdr:nvPicPr>
        <xdr:cNvPr id="210" name="Picture 209">
          <a:extLst>
            <a:ext uri="{FF2B5EF4-FFF2-40B4-BE49-F238E27FC236}">
              <a16:creationId xmlns:a16="http://schemas.microsoft.com/office/drawing/2014/main" id="{2100ACD0-D1F3-4D33-8EDB-8FF959F68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896765" y="18769853"/>
          <a:ext cx="4018348" cy="210670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600075</xdr:colOff>
      <xdr:row>2</xdr:row>
      <xdr:rowOff>0</xdr:rowOff>
    </xdr:from>
    <xdr:to>
      <xdr:col>25</xdr:col>
      <xdr:colOff>528913</xdr:colOff>
      <xdr:row>6</xdr:row>
      <xdr:rowOff>103761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AAC3E-306B-4E9C-9136-450BBD86D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2625" y="504825"/>
          <a:ext cx="1386163" cy="780036"/>
        </a:xfrm>
        <a:prstGeom prst="rect">
          <a:avLst/>
        </a:prstGeom>
      </xdr:spPr>
    </xdr:pic>
    <xdr:clientData/>
  </xdr:twoCellAnchor>
  <xdr:twoCellAnchor>
    <xdr:from>
      <xdr:col>23</xdr:col>
      <xdr:colOff>133350</xdr:colOff>
      <xdr:row>10</xdr:row>
      <xdr:rowOff>171450</xdr:rowOff>
    </xdr:from>
    <xdr:to>
      <xdr:col>24</xdr:col>
      <xdr:colOff>9525</xdr:colOff>
      <xdr:row>18</xdr:row>
      <xdr:rowOff>190500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1019974-E585-422D-A2DB-A47C8EB249AF}"/>
            </a:ext>
          </a:extLst>
        </xdr:cNvPr>
        <xdr:cNvSpPr/>
      </xdr:nvSpPr>
      <xdr:spPr>
        <a:xfrm>
          <a:off x="21135975" y="2114550"/>
          <a:ext cx="485775" cy="161925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GEDUNG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twoCellAnchor>
    <xdr:from>
      <xdr:col>23</xdr:col>
      <xdr:colOff>523875</xdr:colOff>
      <xdr:row>7</xdr:row>
      <xdr:rowOff>123825</xdr:rowOff>
    </xdr:from>
    <xdr:to>
      <xdr:col>32</xdr:col>
      <xdr:colOff>123411</xdr:colOff>
      <xdr:row>10</xdr:row>
      <xdr:rowOff>47625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3E06804-0BBB-4F7A-B401-E1426A5B5F13}"/>
            </a:ext>
            <a:ext uri="{147F2762-F138-4A5C-976F-8EAC2B608ADB}">
              <a16:predDERef xmlns:a16="http://schemas.microsoft.com/office/drawing/2014/main" pred="{F0131444-B0A8-A7A9-F5CE-638AF88C1CA4}"/>
            </a:ext>
          </a:extLst>
        </xdr:cNvPr>
        <xdr:cNvGrpSpPr/>
      </xdr:nvGrpSpPr>
      <xdr:grpSpPr>
        <a:xfrm>
          <a:off x="12043522" y="1490943"/>
          <a:ext cx="9158154" cy="495300"/>
          <a:chOff x="1093304" y="7475468"/>
          <a:chExt cx="8100392" cy="495300"/>
        </a:xfrm>
      </xdr:grpSpPr>
      <xdr:sp macro="" textlink="">
        <xdr:nvSpPr>
          <xdr:cNvPr id="5" name="Rectangle: Top Corners One Rounded and One Snipped 4">
            <a:extLst>
              <a:ext uri="{FF2B5EF4-FFF2-40B4-BE49-F238E27FC236}">
                <a16:creationId xmlns:a16="http://schemas.microsoft.com/office/drawing/2014/main" id="{7ABBD872-BDBF-5CED-4DE4-AF7A50F9B76F}"/>
              </a:ext>
            </a:extLst>
          </xdr:cNvPr>
          <xdr:cNvSpPr/>
        </xdr:nvSpPr>
        <xdr:spPr>
          <a:xfrm>
            <a:off x="1093304" y="7475468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Dokumen Syarat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6" name="Rectangle: Top Corners One Rounded and One Snipped 5">
            <a:extLst>
              <a:ext uri="{FF2B5EF4-FFF2-40B4-BE49-F238E27FC236}">
                <a16:creationId xmlns:a16="http://schemas.microsoft.com/office/drawing/2014/main" id="{38D88C42-FFE8-7F35-7EDB-F38E8AA33A6E}"/>
              </a:ext>
            </a:extLst>
          </xdr:cNvPr>
          <xdr:cNvSpPr/>
        </xdr:nvSpPr>
        <xdr:spPr>
          <a:xfrm>
            <a:off x="3144076" y="7484993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One Rounded and One Snipped 6">
            <a:extLst>
              <a:ext uri="{FF2B5EF4-FFF2-40B4-BE49-F238E27FC236}">
                <a16:creationId xmlns:a16="http://schemas.microsoft.com/office/drawing/2014/main" id="{B64366C7-10B6-34E2-46F0-636743A6729B}"/>
              </a:ext>
            </a:extLst>
          </xdr:cNvPr>
          <xdr:cNvSpPr/>
        </xdr:nvSpPr>
        <xdr:spPr>
          <a:xfrm>
            <a:off x="5180536" y="7487714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One Rounded and One Snipped 7">
            <a:extLst>
              <a:ext uri="{FF2B5EF4-FFF2-40B4-BE49-F238E27FC236}">
                <a16:creationId xmlns:a16="http://schemas.microsoft.com/office/drawing/2014/main" id="{73166992-41B2-2F76-E55E-56C1FC03B074}"/>
              </a:ext>
            </a:extLst>
          </xdr:cNvPr>
          <xdr:cNvSpPr/>
        </xdr:nvSpPr>
        <xdr:spPr>
          <a:xfrm>
            <a:off x="7219123" y="7494518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2</xdr:col>
      <xdr:colOff>600075</xdr:colOff>
      <xdr:row>2</xdr:row>
      <xdr:rowOff>0</xdr:rowOff>
    </xdr:from>
    <xdr:ext cx="1396126" cy="783366"/>
    <xdr:pic>
      <xdr:nvPicPr>
        <xdr:cNvPr id="9" name="Picture 8">
          <a:extLst>
            <a:ext uri="{FF2B5EF4-FFF2-40B4-BE49-F238E27FC236}">
              <a16:creationId xmlns:a16="http://schemas.microsoft.com/office/drawing/2014/main" id="{997CB361-5DEA-4A19-BDE3-5AFD80082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504825"/>
          <a:ext cx="1396126" cy="783366"/>
        </a:xfrm>
        <a:prstGeom prst="rect">
          <a:avLst/>
        </a:prstGeom>
      </xdr:spPr>
    </xdr:pic>
    <xdr:clientData/>
  </xdr:oneCellAnchor>
  <xdr:twoCellAnchor>
    <xdr:from>
      <xdr:col>17</xdr:col>
      <xdr:colOff>129273</xdr:colOff>
      <xdr:row>8</xdr:row>
      <xdr:rowOff>7327</xdr:rowOff>
    </xdr:from>
    <xdr:to>
      <xdr:col>19</xdr:col>
      <xdr:colOff>109909</xdr:colOff>
      <xdr:row>10</xdr:row>
      <xdr:rowOff>102577</xdr:rowOff>
    </xdr:to>
    <xdr:sp macro="" textlink="">
      <xdr:nvSpPr>
        <xdr:cNvPr id="10" name="Rectangle: Top Corners One Rounded and One Snipped 9">
          <a:extLst>
            <a:ext uri="{FF2B5EF4-FFF2-40B4-BE49-F238E27FC236}">
              <a16:creationId xmlns:a16="http://schemas.microsoft.com/office/drawing/2014/main" id="{F50F469D-C88D-43C9-8198-ED08BC01C8FE}"/>
            </a:ext>
          </a:extLst>
        </xdr:cNvPr>
        <xdr:cNvSpPr/>
      </xdr:nvSpPr>
      <xdr:spPr>
        <a:xfrm>
          <a:off x="18055323" y="1569427"/>
          <a:ext cx="1714186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22</xdr:col>
      <xdr:colOff>600075</xdr:colOff>
      <xdr:row>47</xdr:row>
      <xdr:rowOff>0</xdr:rowOff>
    </xdr:from>
    <xdr:ext cx="1400563" cy="788987"/>
    <xdr:pic>
      <xdr:nvPicPr>
        <xdr:cNvPr id="11" name="Picture 10">
          <a:extLst>
            <a:ext uri="{FF2B5EF4-FFF2-40B4-BE49-F238E27FC236}">
              <a16:creationId xmlns:a16="http://schemas.microsoft.com/office/drawing/2014/main" id="{87F4B9E5-9EEF-4F00-ACC9-6313C4ABF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2625" y="10220325"/>
          <a:ext cx="1400563" cy="788987"/>
        </a:xfrm>
        <a:prstGeom prst="rect">
          <a:avLst/>
        </a:prstGeom>
      </xdr:spPr>
    </xdr:pic>
    <xdr:clientData/>
  </xdr:oneCellAnchor>
  <xdr:twoCellAnchor>
    <xdr:from>
      <xdr:col>23</xdr:col>
      <xdr:colOff>133350</xdr:colOff>
      <xdr:row>55</xdr:row>
      <xdr:rowOff>171449</xdr:rowOff>
    </xdr:from>
    <xdr:to>
      <xdr:col>24</xdr:col>
      <xdr:colOff>9525</xdr:colOff>
      <xdr:row>63</xdr:row>
      <xdr:rowOff>249115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BE80DA7-F7BB-480F-94F4-B0C208150D95}"/>
            </a:ext>
          </a:extLst>
        </xdr:cNvPr>
        <xdr:cNvSpPr/>
      </xdr:nvSpPr>
      <xdr:spPr>
        <a:xfrm>
          <a:off x="21135975" y="12268199"/>
          <a:ext cx="485775" cy="1896941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GEDUNG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twoCellAnchor>
    <xdr:from>
      <xdr:col>24</xdr:col>
      <xdr:colOff>8283</xdr:colOff>
      <xdr:row>52</xdr:row>
      <xdr:rowOff>173934</xdr:rowOff>
    </xdr:from>
    <xdr:to>
      <xdr:col>32</xdr:col>
      <xdr:colOff>131694</xdr:colOff>
      <xdr:row>55</xdr:row>
      <xdr:rowOff>147430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F7E2302E-F7FE-4916-BDAD-058825ACFF37}"/>
            </a:ext>
          </a:extLst>
        </xdr:cNvPr>
        <xdr:cNvGrpSpPr/>
      </xdr:nvGrpSpPr>
      <xdr:grpSpPr>
        <a:xfrm>
          <a:off x="12133048" y="11704787"/>
          <a:ext cx="9076911" cy="544996"/>
          <a:chOff x="1093304" y="7475468"/>
          <a:chExt cx="8100392" cy="495300"/>
        </a:xfrm>
      </xdr:grpSpPr>
      <xdr:sp macro="" textlink="">
        <xdr:nvSpPr>
          <xdr:cNvPr id="14" name="Rectangle: Top Corners One Rounded and One Snipped 13">
            <a:extLst>
              <a:ext uri="{FF2B5EF4-FFF2-40B4-BE49-F238E27FC236}">
                <a16:creationId xmlns:a16="http://schemas.microsoft.com/office/drawing/2014/main" id="{EE40FF34-4FEF-887E-D9E6-D5AA579BD0F3}"/>
              </a:ext>
            </a:extLst>
          </xdr:cNvPr>
          <xdr:cNvSpPr/>
        </xdr:nvSpPr>
        <xdr:spPr>
          <a:xfrm>
            <a:off x="1093304" y="7475468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Dokumen Syarat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Rectangle: Top Corners One Rounded and One Snipped 14">
            <a:extLst>
              <a:ext uri="{FF2B5EF4-FFF2-40B4-BE49-F238E27FC236}">
                <a16:creationId xmlns:a16="http://schemas.microsoft.com/office/drawing/2014/main" id="{61D25F07-2E8A-282C-9E77-AAA17EC15C15}"/>
              </a:ext>
            </a:extLst>
          </xdr:cNvPr>
          <xdr:cNvSpPr/>
        </xdr:nvSpPr>
        <xdr:spPr>
          <a:xfrm>
            <a:off x="3144076" y="7484993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" name="Rectangle: Top Corners One Rounded and One Snipped 15">
            <a:extLst>
              <a:ext uri="{FF2B5EF4-FFF2-40B4-BE49-F238E27FC236}">
                <a16:creationId xmlns:a16="http://schemas.microsoft.com/office/drawing/2014/main" id="{488ADCD0-F5B8-2064-C0C1-AB815267A089}"/>
              </a:ext>
            </a:extLst>
          </xdr:cNvPr>
          <xdr:cNvSpPr/>
        </xdr:nvSpPr>
        <xdr:spPr>
          <a:xfrm>
            <a:off x="5180536" y="7487714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" name="Rectangle: Top Corners One Rounded and One Snipped 16">
            <a:extLst>
              <a:ext uri="{FF2B5EF4-FFF2-40B4-BE49-F238E27FC236}">
                <a16:creationId xmlns:a16="http://schemas.microsoft.com/office/drawing/2014/main" id="{2E79247F-C81A-11B5-36B8-F061E7C3215B}"/>
              </a:ext>
            </a:extLst>
          </xdr:cNvPr>
          <xdr:cNvSpPr/>
        </xdr:nvSpPr>
        <xdr:spPr>
          <a:xfrm>
            <a:off x="7219123" y="7494518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28</xdr:col>
      <xdr:colOff>0</xdr:colOff>
      <xdr:row>64</xdr:row>
      <xdr:rowOff>19050</xdr:rowOff>
    </xdr:from>
    <xdr:to>
      <xdr:col>31</xdr:col>
      <xdr:colOff>85343</xdr:colOff>
      <xdr:row>65</xdr:row>
      <xdr:rowOff>83516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E33A663-C211-4A8B-BE2C-9C062A016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46200" y="14182725"/>
          <a:ext cx="2285618" cy="302591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1143000</xdr:colOff>
      <xdr:row>172</xdr:row>
      <xdr:rowOff>424961</xdr:rowOff>
    </xdr:from>
    <xdr:to>
      <xdr:col>25</xdr:col>
      <xdr:colOff>220149</xdr:colOff>
      <xdr:row>179</xdr:row>
      <xdr:rowOff>34601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76B296C-21D4-47C7-9961-A7FF086E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68325" y="37924886"/>
          <a:ext cx="8934963" cy="1181265"/>
        </a:xfrm>
        <a:prstGeom prst="rect">
          <a:avLst/>
        </a:prstGeom>
      </xdr:spPr>
    </xdr:pic>
    <xdr:clientData/>
  </xdr:twoCellAnchor>
  <xdr:twoCellAnchor>
    <xdr:from>
      <xdr:col>2</xdr:col>
      <xdr:colOff>300927</xdr:colOff>
      <xdr:row>7</xdr:row>
      <xdr:rowOff>116887</xdr:rowOff>
    </xdr:from>
    <xdr:to>
      <xdr:col>19</xdr:col>
      <xdr:colOff>11828</xdr:colOff>
      <xdr:row>20</xdr:row>
      <xdr:rowOff>33691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7E1563B-0626-4F25-94C1-522C46BC790D}"/>
            </a:ext>
          </a:extLst>
        </xdr:cNvPr>
        <xdr:cNvGrpSpPr/>
      </xdr:nvGrpSpPr>
      <xdr:grpSpPr>
        <a:xfrm>
          <a:off x="1174986" y="1484005"/>
          <a:ext cx="9011783" cy="2695862"/>
          <a:chOff x="13633730" y="1355168"/>
          <a:chExt cx="8905362" cy="2528100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F2BAA737-B42F-A75E-9A54-403E0B6F44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672654" y="2398273"/>
            <a:ext cx="522964" cy="5215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711718DF-B8A2-8D67-B79A-B1F326E997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944148" y="2971557"/>
            <a:ext cx="166591" cy="165652"/>
          </a:xfrm>
          <a:prstGeom prst="rect">
            <a:avLst/>
          </a:prstGeom>
          <a:noFill/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25E35BCD-3FA0-D191-7D9C-3B52B85BF43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89119" y="2953853"/>
            <a:ext cx="166591" cy="165652"/>
          </a:xfrm>
          <a:prstGeom prst="rect">
            <a:avLst/>
          </a:prstGeom>
          <a:noFill/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18C2FC86-B46C-02B0-2CA7-EF0730AEB69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314387" y="2997546"/>
            <a:ext cx="166591" cy="165652"/>
          </a:xfrm>
          <a:prstGeom prst="rect">
            <a:avLst/>
          </a:prstGeom>
          <a:noFill/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3EACCC7-9FFB-1E88-9647-6283B0A88E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70908" y="2990347"/>
            <a:ext cx="168184" cy="165652"/>
          </a:xfrm>
          <a:prstGeom prst="rect">
            <a:avLst/>
          </a:prstGeom>
          <a:noFill/>
        </xdr:spPr>
      </xdr:pic>
      <xdr:cxnSp macro="">
        <xdr:nvCxnSpPr>
          <xdr:cNvPr id="26" name="Connector: Elbow 25">
            <a:extLst>
              <a:ext uri="{FF2B5EF4-FFF2-40B4-BE49-F238E27FC236}">
                <a16:creationId xmlns:a16="http://schemas.microsoft.com/office/drawing/2014/main" id="{EA50A8A6-2100-ED83-B3DD-ED58B17E48AA}"/>
              </a:ext>
            </a:extLst>
          </xdr:cNvPr>
          <xdr:cNvCxnSpPr/>
        </xdr:nvCxnSpPr>
        <xdr:spPr>
          <a:xfrm rot="16200000" flipH="1">
            <a:off x="18188961" y="3144074"/>
            <a:ext cx="504295" cy="448527"/>
          </a:xfrm>
          <a:prstGeom prst="bentConnector3">
            <a:avLst>
              <a:gd name="adj1" fmla="val 50000"/>
            </a:avLst>
          </a:prstGeom>
          <a:ln>
            <a:solidFill>
              <a:srgbClr val="3C888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4FC3D58B-8DAB-B714-F638-50003D1FEEC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775617" y="2408735"/>
            <a:ext cx="549106" cy="5495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8" name="Rectangle: Top Corners One Rounded and One Snipped 27">
            <a:extLst>
              <a:ext uri="{FF2B5EF4-FFF2-40B4-BE49-F238E27FC236}">
                <a16:creationId xmlns:a16="http://schemas.microsoft.com/office/drawing/2014/main" id="{F09B4E4A-55AD-F863-41D5-399AD8FAC556}"/>
              </a:ext>
            </a:extLst>
          </xdr:cNvPr>
          <xdr:cNvSpPr/>
        </xdr:nvSpPr>
        <xdr:spPr>
          <a:xfrm>
            <a:off x="14047282" y="1355168"/>
            <a:ext cx="168921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9" name="Rectangle: Top Corners One Rounded and One Snipped 28">
            <a:extLst>
              <a:ext uri="{FF2B5EF4-FFF2-40B4-BE49-F238E27FC236}">
                <a16:creationId xmlns:a16="http://schemas.microsoft.com/office/drawing/2014/main" id="{7E5F74C9-1329-E018-7F6E-61EA0718D150}"/>
              </a:ext>
            </a:extLst>
          </xdr:cNvPr>
          <xdr:cNvSpPr/>
        </xdr:nvSpPr>
        <xdr:spPr>
          <a:xfrm>
            <a:off x="15753640" y="1365213"/>
            <a:ext cx="1688616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59BB1D5C-569D-EF23-479F-80F9EFD737AF}"/>
              </a:ext>
            </a:extLst>
          </xdr:cNvPr>
          <xdr:cNvSpPr/>
        </xdr:nvSpPr>
        <xdr:spPr>
          <a:xfrm>
            <a:off x="13633730" y="1945719"/>
            <a:ext cx="348238" cy="1937549"/>
          </a:xfrm>
          <a:prstGeom prst="roundRect">
            <a:avLst/>
          </a:prstGeom>
          <a:ln/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vert="vert270" rtlCol="0" anchor="ctr" anchorCtr="0"/>
          <a:lstStyle/>
          <a:p>
            <a:pPr algn="ctr"/>
            <a:r>
              <a:rPr lang="en-US" sz="1200" b="1">
                <a:latin typeface="Segoe UI" panose="020B0502040204020203" pitchFamily="34" charset="0"/>
                <a:cs typeface="Segoe UI" panose="020B0502040204020203" pitchFamily="34" charset="0"/>
              </a:rPr>
              <a:t>Petunjuk Pembayaran  </a:t>
            </a:r>
            <a:r>
              <a:rPr lang="en-US" sz="900" b="1" strike="noStrike" baseline="30000">
                <a:latin typeface="Segoe UI" panose="020B0502040204020203" pitchFamily="34" charset="0"/>
                <a:cs typeface="Segoe UI" panose="020B0502040204020203" pitchFamily="34" charset="0"/>
              </a:rPr>
              <a:t>V</a:t>
            </a:r>
            <a:endParaRPr lang="id-ID" sz="1100" b="1" strike="noStrike" baseline="30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D5BAE54F-2B88-DB93-9F8E-CC4A273663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326969" y="2394833"/>
            <a:ext cx="523874" cy="5227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38</xdr:col>
      <xdr:colOff>600075</xdr:colOff>
      <xdr:row>2</xdr:row>
      <xdr:rowOff>0</xdr:rowOff>
    </xdr:from>
    <xdr:ext cx="1396126" cy="783366"/>
    <xdr:pic>
      <xdr:nvPicPr>
        <xdr:cNvPr id="32" name="Picture 31">
          <a:extLst>
            <a:ext uri="{FF2B5EF4-FFF2-40B4-BE49-F238E27FC236}">
              <a16:creationId xmlns:a16="http://schemas.microsoft.com/office/drawing/2014/main" id="{4838A7AF-3E6C-48ED-887A-A8190BD99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0" y="504825"/>
          <a:ext cx="1396126" cy="783366"/>
        </a:xfrm>
        <a:prstGeom prst="rect">
          <a:avLst/>
        </a:prstGeom>
      </xdr:spPr>
    </xdr:pic>
    <xdr:clientData/>
  </xdr:oneCellAnchor>
  <xdr:twoCellAnchor>
    <xdr:from>
      <xdr:col>39</xdr:col>
      <xdr:colOff>74839</xdr:colOff>
      <xdr:row>7</xdr:row>
      <xdr:rowOff>175533</xdr:rowOff>
    </xdr:from>
    <xdr:to>
      <xdr:col>41</xdr:col>
      <xdr:colOff>1020536</xdr:colOff>
      <xdr:row>10</xdr:row>
      <xdr:rowOff>80283</xdr:rowOff>
    </xdr:to>
    <xdr:sp macro="" textlink="">
      <xdr:nvSpPr>
        <xdr:cNvPr id="33" name="Rectangle: Top Corners One Rounded and One Snipped 32">
          <a:extLst>
            <a:ext uri="{FF2B5EF4-FFF2-40B4-BE49-F238E27FC236}">
              <a16:creationId xmlns:a16="http://schemas.microsoft.com/office/drawing/2014/main" id="{47277C28-A088-4F16-B3E4-296D50B14C5D}"/>
            </a:ext>
          </a:extLst>
        </xdr:cNvPr>
        <xdr:cNvSpPr/>
      </xdr:nvSpPr>
      <xdr:spPr>
        <a:xfrm>
          <a:off x="34945864" y="1547133"/>
          <a:ext cx="133622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Informasi</a:t>
          </a:r>
          <a:endParaRPr lang="id-ID" sz="11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1034142</xdr:colOff>
      <xdr:row>7</xdr:row>
      <xdr:rowOff>178251</xdr:rowOff>
    </xdr:from>
    <xdr:to>
      <xdr:col>45</xdr:col>
      <xdr:colOff>34017</xdr:colOff>
      <xdr:row>10</xdr:row>
      <xdr:rowOff>83001</xdr:rowOff>
    </xdr:to>
    <xdr:sp macro="" textlink="">
      <xdr:nvSpPr>
        <xdr:cNvPr id="34" name="Rectangle: Top Corners One Rounded and One Snipped 33">
          <a:extLst>
            <a:ext uri="{FF2B5EF4-FFF2-40B4-BE49-F238E27FC236}">
              <a16:creationId xmlns:a16="http://schemas.microsoft.com/office/drawing/2014/main" id="{C82E8F8B-7727-4095-97CA-C7B07C2790F4}"/>
            </a:ext>
          </a:extLst>
        </xdr:cNvPr>
        <xdr:cNvSpPr/>
      </xdr:nvSpPr>
      <xdr:spPr>
        <a:xfrm>
          <a:off x="36295692" y="1549851"/>
          <a:ext cx="1162050" cy="476250"/>
        </a:xfrm>
        <a:prstGeom prst="snipRoundRect">
          <a:avLst>
            <a:gd name="adj1" fmla="val 16667"/>
            <a:gd name="adj2" fmla="val 50000"/>
          </a:avLst>
        </a:prstGeom>
        <a:solidFill>
          <a:schemeClr val="bg2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Petunjuk Pembayaran</a:t>
          </a:r>
        </a:p>
      </xdr:txBody>
    </xdr:sp>
    <xdr:clientData/>
  </xdr:twoCellAnchor>
  <xdr:twoCellAnchor>
    <xdr:from>
      <xdr:col>45</xdr:col>
      <xdr:colOff>1367518</xdr:colOff>
      <xdr:row>7</xdr:row>
      <xdr:rowOff>187777</xdr:rowOff>
    </xdr:from>
    <xdr:to>
      <xdr:col>49</xdr:col>
      <xdr:colOff>306160</xdr:colOff>
      <xdr:row>10</xdr:row>
      <xdr:rowOff>92527</xdr:rowOff>
    </xdr:to>
    <xdr:sp macro="" textlink="">
      <xdr:nvSpPr>
        <xdr:cNvPr id="35" name="Rectangle: Top Corners One Rounded and One Snipped 34">
          <a:extLst>
            <a:ext uri="{FF2B5EF4-FFF2-40B4-BE49-F238E27FC236}">
              <a16:creationId xmlns:a16="http://schemas.microsoft.com/office/drawing/2014/main" id="{2F3CBCF3-CDA9-4D01-A3A2-BADA9035C325}"/>
            </a:ext>
          </a:extLst>
        </xdr:cNvPr>
        <xdr:cNvSpPr/>
      </xdr:nvSpPr>
      <xdr:spPr>
        <a:xfrm>
          <a:off x="38791243" y="1559377"/>
          <a:ext cx="111034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1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54427</xdr:colOff>
      <xdr:row>7</xdr:row>
      <xdr:rowOff>183694</xdr:rowOff>
    </xdr:from>
    <xdr:to>
      <xdr:col>45</xdr:col>
      <xdr:colOff>1347107</xdr:colOff>
      <xdr:row>10</xdr:row>
      <xdr:rowOff>88444</xdr:rowOff>
    </xdr:to>
    <xdr:sp macro="" textlink="">
      <xdr:nvSpPr>
        <xdr:cNvPr id="36" name="Rectangle: Top Corners One Rounded and One Snipped 35">
          <a:extLst>
            <a:ext uri="{FF2B5EF4-FFF2-40B4-BE49-F238E27FC236}">
              <a16:creationId xmlns:a16="http://schemas.microsoft.com/office/drawing/2014/main" id="{37AD6AD0-70EE-4A75-AC04-61808BD65408}"/>
            </a:ext>
          </a:extLst>
        </xdr:cNvPr>
        <xdr:cNvSpPr/>
      </xdr:nvSpPr>
      <xdr:spPr>
        <a:xfrm>
          <a:off x="37478152" y="1555294"/>
          <a:ext cx="129268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Open Item</a:t>
          </a:r>
          <a:endParaRPr lang="id-ID" sz="11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319768</xdr:colOff>
      <xdr:row>8</xdr:row>
      <xdr:rowOff>0</xdr:rowOff>
    </xdr:from>
    <xdr:to>
      <xdr:col>50</xdr:col>
      <xdr:colOff>122464</xdr:colOff>
      <xdr:row>10</xdr:row>
      <xdr:rowOff>95250</xdr:rowOff>
    </xdr:to>
    <xdr:sp macro="" textlink="">
      <xdr:nvSpPr>
        <xdr:cNvPr id="37" name="Rectangle: Top Corners One Rounded and One Snipped 36">
          <a:extLst>
            <a:ext uri="{FF2B5EF4-FFF2-40B4-BE49-F238E27FC236}">
              <a16:creationId xmlns:a16="http://schemas.microsoft.com/office/drawing/2014/main" id="{C4CDE9B5-610A-48D9-AC86-54A0BBE6DDC9}"/>
            </a:ext>
          </a:extLst>
        </xdr:cNvPr>
        <xdr:cNvSpPr/>
      </xdr:nvSpPr>
      <xdr:spPr>
        <a:xfrm>
          <a:off x="39915193" y="1562100"/>
          <a:ext cx="1355271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269422</xdr:colOff>
      <xdr:row>11</xdr:row>
      <xdr:rowOff>4084</xdr:rowOff>
    </xdr:from>
    <xdr:to>
      <xdr:col>39</xdr:col>
      <xdr:colOff>9525</xdr:colOff>
      <xdr:row>19</xdr:row>
      <xdr:rowOff>146959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CBC99A8F-805E-440E-BD1C-D8B4C0D57769}"/>
            </a:ext>
          </a:extLst>
        </xdr:cNvPr>
        <xdr:cNvSpPr/>
      </xdr:nvSpPr>
      <xdr:spPr>
        <a:xfrm>
          <a:off x="34530847" y="2137684"/>
          <a:ext cx="349703" cy="1933575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Petunjuk Pembayaran </a:t>
          </a:r>
          <a:r>
            <a:rPr lang="en-US" sz="900" b="1" strike="noStrike" baseline="30000"/>
            <a:t>V</a:t>
          </a:r>
          <a:endParaRPr lang="id-ID" sz="1100" b="1" strike="noStrike" baseline="30000"/>
        </a:p>
      </xdr:txBody>
    </xdr:sp>
    <xdr:clientData/>
  </xdr:twoCellAnchor>
  <xdr:oneCellAnchor>
    <xdr:from>
      <xdr:col>41</xdr:col>
      <xdr:colOff>1000126</xdr:colOff>
      <xdr:row>13</xdr:row>
      <xdr:rowOff>62400</xdr:rowOff>
    </xdr:from>
    <xdr:ext cx="523874" cy="522706"/>
    <xdr:pic>
      <xdr:nvPicPr>
        <xdr:cNvPr id="39" name="Picture 38">
          <a:extLst>
            <a:ext uri="{FF2B5EF4-FFF2-40B4-BE49-F238E27FC236}">
              <a16:creationId xmlns:a16="http://schemas.microsoft.com/office/drawing/2014/main" id="{2544B3BE-0451-4CB2-8F09-304B787F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61676" y="2615100"/>
          <a:ext cx="523874" cy="52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39</xdr:col>
      <xdr:colOff>95047</xdr:colOff>
      <xdr:row>7</xdr:row>
      <xdr:rowOff>175533</xdr:rowOff>
    </xdr:from>
    <xdr:to>
      <xdr:col>54</xdr:col>
      <xdr:colOff>136773</xdr:colOff>
      <xdr:row>22</xdr:row>
      <xdr:rowOff>21984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CB01D358-781E-4125-B0BE-F0AC70FD77D9}"/>
            </a:ext>
          </a:extLst>
        </xdr:cNvPr>
        <xdr:cNvGrpSpPr/>
      </xdr:nvGrpSpPr>
      <xdr:grpSpPr>
        <a:xfrm>
          <a:off x="25431547" y="1542651"/>
          <a:ext cx="8457344" cy="3253039"/>
          <a:chOff x="14047282" y="1355168"/>
          <a:chExt cx="8458588" cy="3048316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6E251FFD-9701-109A-70EC-2BF2E4C8E66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480378" y="2538573"/>
            <a:ext cx="490161" cy="489068"/>
          </a:xfrm>
          <a:prstGeom prst="rect">
            <a:avLst/>
          </a:prstGeom>
          <a:noFill/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C3C7BFB4-18D7-4907-46BC-871FAA3E05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653630" y="2524177"/>
            <a:ext cx="522964" cy="5215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93B34C95-5A14-1AE6-B362-62EFD35E8E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944148" y="3310941"/>
            <a:ext cx="166591" cy="165652"/>
          </a:xfrm>
          <a:prstGeom prst="rect">
            <a:avLst/>
          </a:prstGeom>
          <a:noFill/>
        </xdr:spPr>
      </xdr:pic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0CE78930-BD10-DEE3-59C1-583A17138F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33751" y="3314254"/>
            <a:ext cx="166591" cy="165652"/>
          </a:xfrm>
          <a:prstGeom prst="rect">
            <a:avLst/>
          </a:prstGeom>
          <a:noFill/>
        </xdr:spPr>
      </xdr:pic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8C3B6F45-A294-E48C-29D3-43C9F7EF85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270092" y="3315911"/>
            <a:ext cx="166591" cy="165652"/>
          </a:xfrm>
          <a:prstGeom prst="rect">
            <a:avLst/>
          </a:prstGeom>
          <a:noFill/>
        </xdr:spPr>
      </xdr:pic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FA2F0FB2-E01C-65E0-DCE8-CE776F65DE0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37686" y="3319224"/>
            <a:ext cx="168184" cy="165652"/>
          </a:xfrm>
          <a:prstGeom prst="rect">
            <a:avLst/>
          </a:prstGeom>
          <a:noFill/>
        </xdr:spPr>
      </xdr:pic>
      <xdr:cxnSp macro="">
        <xdr:nvCxnSpPr>
          <xdr:cNvPr id="47" name="Connector: Elbow 46">
            <a:extLst>
              <a:ext uri="{FF2B5EF4-FFF2-40B4-BE49-F238E27FC236}">
                <a16:creationId xmlns:a16="http://schemas.microsoft.com/office/drawing/2014/main" id="{B1100EE1-754D-4CB6-E2B2-683E154E300A}"/>
              </a:ext>
            </a:extLst>
          </xdr:cNvPr>
          <xdr:cNvCxnSpPr/>
        </xdr:nvCxnSpPr>
        <xdr:spPr>
          <a:xfrm rot="10800000" flipV="1">
            <a:off x="20222311" y="3483920"/>
            <a:ext cx="2216191" cy="919564"/>
          </a:xfrm>
          <a:prstGeom prst="bentConnector3">
            <a:avLst>
              <a:gd name="adj1" fmla="val 739"/>
            </a:avLst>
          </a:prstGeom>
          <a:ln>
            <a:solidFill>
              <a:srgbClr val="3C888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592742CC-8A60-7273-619A-E896688F3D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775617" y="2515280"/>
            <a:ext cx="549106" cy="5495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9" name="Rectangle: Top Corners One Rounded and One Snipped 48">
            <a:extLst>
              <a:ext uri="{FF2B5EF4-FFF2-40B4-BE49-F238E27FC236}">
                <a16:creationId xmlns:a16="http://schemas.microsoft.com/office/drawing/2014/main" id="{AFA222D2-5CD2-C940-AC60-931BBCD0675F}"/>
              </a:ext>
            </a:extLst>
          </xdr:cNvPr>
          <xdr:cNvSpPr/>
        </xdr:nvSpPr>
        <xdr:spPr>
          <a:xfrm>
            <a:off x="14047282" y="1355168"/>
            <a:ext cx="1341350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0" name="Rectangle: Top Corners One Rounded and One Snipped 49">
            <a:extLst>
              <a:ext uri="{FF2B5EF4-FFF2-40B4-BE49-F238E27FC236}">
                <a16:creationId xmlns:a16="http://schemas.microsoft.com/office/drawing/2014/main" id="{B8CE2493-22E7-CED3-E2AB-5C4A34256EAB}"/>
              </a:ext>
            </a:extLst>
          </xdr:cNvPr>
          <xdr:cNvSpPr/>
        </xdr:nvSpPr>
        <xdr:spPr>
          <a:xfrm>
            <a:off x="15402238" y="1357886"/>
            <a:ext cx="1161318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  <xdr:sp macro="" textlink="">
        <xdr:nvSpPr>
          <xdr:cNvPr id="51" name="Rectangle: Top Corners One Rounded and One Snipped 50">
            <a:extLst>
              <a:ext uri="{FF2B5EF4-FFF2-40B4-BE49-F238E27FC236}">
                <a16:creationId xmlns:a16="http://schemas.microsoft.com/office/drawing/2014/main" id="{C14358D9-3A4D-A7BA-9400-FCBF6B51A850}"/>
              </a:ext>
            </a:extLst>
          </xdr:cNvPr>
          <xdr:cNvSpPr/>
        </xdr:nvSpPr>
        <xdr:spPr>
          <a:xfrm>
            <a:off x="17897057" y="1367412"/>
            <a:ext cx="1114738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Perpajakan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2" name="Rectangle: Top Corners One Rounded and One Snipped 51">
            <a:extLst>
              <a:ext uri="{FF2B5EF4-FFF2-40B4-BE49-F238E27FC236}">
                <a16:creationId xmlns:a16="http://schemas.microsoft.com/office/drawing/2014/main" id="{9A6E7124-D794-B061-7D1C-6F5E4B8DAB16}"/>
              </a:ext>
            </a:extLst>
          </xdr:cNvPr>
          <xdr:cNvSpPr/>
        </xdr:nvSpPr>
        <xdr:spPr>
          <a:xfrm>
            <a:off x="16583966" y="1363329"/>
            <a:ext cx="1292680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Open Item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3" name="Rectangle: Top Corners One Rounded and One Snipped 52">
            <a:extLst>
              <a:ext uri="{FF2B5EF4-FFF2-40B4-BE49-F238E27FC236}">
                <a16:creationId xmlns:a16="http://schemas.microsoft.com/office/drawing/2014/main" id="{C6848243-0F8E-C85D-22AA-7A3DCC9243BA}"/>
              </a:ext>
            </a:extLst>
          </xdr:cNvPr>
          <xdr:cNvSpPr/>
        </xdr:nvSpPr>
        <xdr:spPr>
          <a:xfrm>
            <a:off x="19025403" y="1370135"/>
            <a:ext cx="1356004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Bukti Potong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13</xdr:col>
      <xdr:colOff>516133</xdr:colOff>
      <xdr:row>8</xdr:row>
      <xdr:rowOff>5862</xdr:rowOff>
    </xdr:from>
    <xdr:to>
      <xdr:col>17</xdr:col>
      <xdr:colOff>108443</xdr:colOff>
      <xdr:row>10</xdr:row>
      <xdr:rowOff>101112</xdr:rowOff>
    </xdr:to>
    <xdr:sp macro="" textlink="">
      <xdr:nvSpPr>
        <xdr:cNvPr id="54" name="Rectangle: Top Corners One Rounded and One Snipped 53">
          <a:extLst>
            <a:ext uri="{FF2B5EF4-FFF2-40B4-BE49-F238E27FC236}">
              <a16:creationId xmlns:a16="http://schemas.microsoft.com/office/drawing/2014/main" id="{CFBF997F-1B77-4C47-A1FC-03AAF4B38F69}"/>
            </a:ext>
            <a:ext uri="{147F2762-F138-4A5C-976F-8EAC2B608ADB}">
              <a16:predDERef xmlns:a16="http://schemas.microsoft.com/office/drawing/2014/main" pred="{F1B97573-D879-4B57-8098-F26AA411FDC1}"/>
            </a:ext>
          </a:extLst>
        </xdr:cNvPr>
        <xdr:cNvSpPr/>
      </xdr:nvSpPr>
      <xdr:spPr>
        <a:xfrm>
          <a:off x="16318108" y="1567962"/>
          <a:ext cx="1716385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rPr>
            <a:t>Perpajakan</a:t>
          </a:r>
        </a:p>
      </xdr:txBody>
    </xdr:sp>
    <xdr:clientData/>
  </xdr:twoCellAnchor>
  <xdr:twoCellAnchor>
    <xdr:from>
      <xdr:col>9</xdr:col>
      <xdr:colOff>954284</xdr:colOff>
      <xdr:row>8</xdr:row>
      <xdr:rowOff>4396</xdr:rowOff>
    </xdr:from>
    <xdr:to>
      <xdr:col>13</xdr:col>
      <xdr:colOff>480651</xdr:colOff>
      <xdr:row>10</xdr:row>
      <xdr:rowOff>99646</xdr:rowOff>
    </xdr:to>
    <xdr:sp macro="" textlink="">
      <xdr:nvSpPr>
        <xdr:cNvPr id="55" name="Rectangle: Top Corners One Rounded and One Snipped 54">
          <a:extLst>
            <a:ext uri="{FF2B5EF4-FFF2-40B4-BE49-F238E27FC236}">
              <a16:creationId xmlns:a16="http://schemas.microsoft.com/office/drawing/2014/main" id="{36406E80-6D62-4FD0-99E1-CB0A0FCCED41}"/>
            </a:ext>
          </a:extLst>
        </xdr:cNvPr>
        <xdr:cNvSpPr/>
      </xdr:nvSpPr>
      <xdr:spPr>
        <a:xfrm>
          <a:off x="14575034" y="1566496"/>
          <a:ext cx="170759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600075</xdr:colOff>
      <xdr:row>33</xdr:row>
      <xdr:rowOff>0</xdr:rowOff>
    </xdr:from>
    <xdr:ext cx="1396126" cy="783366"/>
    <xdr:pic>
      <xdr:nvPicPr>
        <xdr:cNvPr id="56" name="Picture 55">
          <a:extLst>
            <a:ext uri="{FF2B5EF4-FFF2-40B4-BE49-F238E27FC236}">
              <a16:creationId xmlns:a16="http://schemas.microsoft.com/office/drawing/2014/main" id="{0B3A2071-D868-44FA-891A-CA433AF9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7553325"/>
          <a:ext cx="1396126" cy="783366"/>
        </a:xfrm>
        <a:prstGeom prst="rect">
          <a:avLst/>
        </a:prstGeom>
      </xdr:spPr>
    </xdr:pic>
    <xdr:clientData/>
  </xdr:oneCellAnchor>
  <xdr:twoCellAnchor>
    <xdr:from>
      <xdr:col>17</xdr:col>
      <xdr:colOff>129273</xdr:colOff>
      <xdr:row>39</xdr:row>
      <xdr:rowOff>7327</xdr:rowOff>
    </xdr:from>
    <xdr:to>
      <xdr:col>19</xdr:col>
      <xdr:colOff>109909</xdr:colOff>
      <xdr:row>41</xdr:row>
      <xdr:rowOff>102577</xdr:rowOff>
    </xdr:to>
    <xdr:sp macro="" textlink="">
      <xdr:nvSpPr>
        <xdr:cNvPr id="57" name="Rectangle: Top Corners One Rounded and One Snipped 56">
          <a:extLst>
            <a:ext uri="{FF2B5EF4-FFF2-40B4-BE49-F238E27FC236}">
              <a16:creationId xmlns:a16="http://schemas.microsoft.com/office/drawing/2014/main" id="{C6EE54E1-33C0-4A6F-8A9F-FCA9B6B9D75E}"/>
            </a:ext>
          </a:extLst>
        </xdr:cNvPr>
        <xdr:cNvSpPr/>
      </xdr:nvSpPr>
      <xdr:spPr>
        <a:xfrm>
          <a:off x="18055323" y="8617927"/>
          <a:ext cx="1714186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97159</xdr:colOff>
      <xdr:row>38</xdr:row>
      <xdr:rowOff>190188</xdr:rowOff>
    </xdr:from>
    <xdr:to>
      <xdr:col>9</xdr:col>
      <xdr:colOff>930513</xdr:colOff>
      <xdr:row>41</xdr:row>
      <xdr:rowOff>93400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B568C48A-33E6-469E-BE29-AE2BA731FBAA}"/>
            </a:ext>
          </a:extLst>
        </xdr:cNvPr>
        <xdr:cNvGrpSpPr/>
      </xdr:nvGrpSpPr>
      <xdr:grpSpPr>
        <a:xfrm>
          <a:off x="1576335" y="8594600"/>
          <a:ext cx="3388296" cy="474712"/>
          <a:chOff x="14047282" y="1355168"/>
          <a:chExt cx="3394974" cy="486295"/>
        </a:xfrm>
      </xdr:grpSpPr>
      <xdr:sp macro="" textlink="">
        <xdr:nvSpPr>
          <xdr:cNvPr id="59" name="Rectangle: Top Corners One Rounded and One Snipped 58">
            <a:extLst>
              <a:ext uri="{FF2B5EF4-FFF2-40B4-BE49-F238E27FC236}">
                <a16:creationId xmlns:a16="http://schemas.microsoft.com/office/drawing/2014/main" id="{342D1222-B4D3-44A9-E917-4BCA641C46DB}"/>
              </a:ext>
            </a:extLst>
          </xdr:cNvPr>
          <xdr:cNvSpPr/>
        </xdr:nvSpPr>
        <xdr:spPr>
          <a:xfrm>
            <a:off x="14047282" y="1355168"/>
            <a:ext cx="168921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0" name="Rectangle: Top Corners One Rounded and One Snipped 59">
            <a:extLst>
              <a:ext uri="{FF2B5EF4-FFF2-40B4-BE49-F238E27FC236}">
                <a16:creationId xmlns:a16="http://schemas.microsoft.com/office/drawing/2014/main" id="{7146125C-0FB5-62C3-6610-7D61B7525153}"/>
              </a:ext>
            </a:extLst>
          </xdr:cNvPr>
          <xdr:cNvSpPr/>
        </xdr:nvSpPr>
        <xdr:spPr>
          <a:xfrm>
            <a:off x="15753640" y="1365213"/>
            <a:ext cx="1688616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13</xdr:col>
      <xdr:colOff>516133</xdr:colOff>
      <xdr:row>39</xdr:row>
      <xdr:rowOff>5862</xdr:rowOff>
    </xdr:from>
    <xdr:to>
      <xdr:col>17</xdr:col>
      <xdr:colOff>108443</xdr:colOff>
      <xdr:row>41</xdr:row>
      <xdr:rowOff>101112</xdr:rowOff>
    </xdr:to>
    <xdr:sp macro="" textlink="">
      <xdr:nvSpPr>
        <xdr:cNvPr id="61" name="Rectangle: Top Corners One Rounded and One Snipped 60">
          <a:extLst>
            <a:ext uri="{FF2B5EF4-FFF2-40B4-BE49-F238E27FC236}">
              <a16:creationId xmlns:a16="http://schemas.microsoft.com/office/drawing/2014/main" id="{7A491774-0CD5-4E95-9684-143E8A1AB907}"/>
            </a:ext>
          </a:extLst>
        </xdr:cNvPr>
        <xdr:cNvSpPr/>
      </xdr:nvSpPr>
      <xdr:spPr>
        <a:xfrm>
          <a:off x="16318108" y="8616462"/>
          <a:ext cx="1716385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954284</xdr:colOff>
      <xdr:row>39</xdr:row>
      <xdr:rowOff>4396</xdr:rowOff>
    </xdr:from>
    <xdr:to>
      <xdr:col>13</xdr:col>
      <xdr:colOff>480651</xdr:colOff>
      <xdr:row>41</xdr:row>
      <xdr:rowOff>99646</xdr:rowOff>
    </xdr:to>
    <xdr:sp macro="" textlink="">
      <xdr:nvSpPr>
        <xdr:cNvPr id="62" name="Rectangle: Top Corners One Rounded and One Snipped 61">
          <a:extLst>
            <a:ext uri="{FF2B5EF4-FFF2-40B4-BE49-F238E27FC236}">
              <a16:creationId xmlns:a16="http://schemas.microsoft.com/office/drawing/2014/main" id="{9D51393C-E07D-4D21-8CE4-A45A13DD392A}"/>
            </a:ext>
          </a:extLst>
        </xdr:cNvPr>
        <xdr:cNvSpPr/>
      </xdr:nvSpPr>
      <xdr:spPr>
        <a:xfrm>
          <a:off x="14575034" y="8614996"/>
          <a:ext cx="1707592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1455796</xdr:colOff>
      <xdr:row>15</xdr:row>
      <xdr:rowOff>48454</xdr:rowOff>
    </xdr:from>
    <xdr:to>
      <xdr:col>7</xdr:col>
      <xdr:colOff>166257</xdr:colOff>
      <xdr:row>16</xdr:row>
      <xdr:rowOff>134116</xdr:rowOff>
    </xdr:to>
    <xdr:sp macro="" textlink="">
      <xdr:nvSpPr>
        <xdr:cNvPr id="63" name="Callout: Down Arrow 62">
          <a:extLst>
            <a:ext uri="{FF2B5EF4-FFF2-40B4-BE49-F238E27FC236}">
              <a16:creationId xmlns:a16="http://schemas.microsoft.com/office/drawing/2014/main" id="{086F59AC-5B06-4424-9696-1D023BAC1CAC}"/>
            </a:ext>
          </a:extLst>
        </xdr:cNvPr>
        <xdr:cNvSpPr/>
      </xdr:nvSpPr>
      <xdr:spPr>
        <a:xfrm>
          <a:off x="12904846" y="2982154"/>
          <a:ext cx="529736" cy="276162"/>
        </a:xfrm>
        <a:prstGeom prst="downArrowCallout">
          <a:avLst>
            <a:gd name="adj1" fmla="val 0"/>
            <a:gd name="adj2" fmla="val 12180"/>
            <a:gd name="adj3" fmla="val 25000"/>
            <a:gd name="adj4" fmla="val 64977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700"/>
            <a:t>informasi</a:t>
          </a:r>
          <a:endParaRPr lang="id-ID" sz="700"/>
        </a:p>
      </xdr:txBody>
    </xdr:sp>
    <xdr:clientData/>
  </xdr:twoCellAnchor>
  <xdr:twoCellAnchor>
    <xdr:from>
      <xdr:col>2</xdr:col>
      <xdr:colOff>258352</xdr:colOff>
      <xdr:row>42</xdr:row>
      <xdr:rowOff>43650</xdr:rowOff>
    </xdr:from>
    <xdr:to>
      <xdr:col>3</xdr:col>
      <xdr:colOff>2642</xdr:colOff>
      <xdr:row>49</xdr:row>
      <xdr:rowOff>322384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23776973-8E7C-4030-9945-A3BBA19C070F}"/>
            </a:ext>
          </a:extLst>
        </xdr:cNvPr>
        <xdr:cNvSpPr/>
      </xdr:nvSpPr>
      <xdr:spPr>
        <a:xfrm>
          <a:off x="10707277" y="9225750"/>
          <a:ext cx="353890" cy="1888459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oneCellAnchor>
    <xdr:from>
      <xdr:col>2</xdr:col>
      <xdr:colOff>53423</xdr:colOff>
      <xdr:row>64</xdr:row>
      <xdr:rowOff>57979</xdr:rowOff>
    </xdr:from>
    <xdr:ext cx="1396126" cy="783366"/>
    <xdr:pic>
      <xdr:nvPicPr>
        <xdr:cNvPr id="65" name="Picture 64">
          <a:extLst>
            <a:ext uri="{FF2B5EF4-FFF2-40B4-BE49-F238E27FC236}">
              <a16:creationId xmlns:a16="http://schemas.microsoft.com/office/drawing/2014/main" id="{E11F9EFB-4297-440D-A08D-87EF05C5F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2348" y="14221654"/>
          <a:ext cx="1396126" cy="783366"/>
        </a:xfrm>
        <a:prstGeom prst="rect">
          <a:avLst/>
        </a:prstGeom>
      </xdr:spPr>
    </xdr:pic>
    <xdr:clientData/>
  </xdr:oneCellAnchor>
  <xdr:twoCellAnchor>
    <xdr:from>
      <xdr:col>17</xdr:col>
      <xdr:colOff>129273</xdr:colOff>
      <xdr:row>69</xdr:row>
      <xdr:rowOff>7327</xdr:rowOff>
    </xdr:from>
    <xdr:to>
      <xdr:col>19</xdr:col>
      <xdr:colOff>109909</xdr:colOff>
      <xdr:row>71</xdr:row>
      <xdr:rowOff>102577</xdr:rowOff>
    </xdr:to>
    <xdr:sp macro="" textlink="">
      <xdr:nvSpPr>
        <xdr:cNvPr id="66" name="Rectangle: Top Corners One Rounded and One Snipped 65">
          <a:extLst>
            <a:ext uri="{FF2B5EF4-FFF2-40B4-BE49-F238E27FC236}">
              <a16:creationId xmlns:a16="http://schemas.microsoft.com/office/drawing/2014/main" id="{8D80A551-D230-4E63-B388-1CACDF9EA253}"/>
            </a:ext>
          </a:extLst>
        </xdr:cNvPr>
        <xdr:cNvSpPr/>
      </xdr:nvSpPr>
      <xdr:spPr>
        <a:xfrm>
          <a:off x="18055323" y="15361627"/>
          <a:ext cx="1714186" cy="57150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97159</xdr:colOff>
      <xdr:row>68</xdr:row>
      <xdr:rowOff>190188</xdr:rowOff>
    </xdr:from>
    <xdr:to>
      <xdr:col>9</xdr:col>
      <xdr:colOff>930513</xdr:colOff>
      <xdr:row>71</xdr:row>
      <xdr:rowOff>93400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ABC72179-2C49-49B9-B07C-4BD41EA5BC37}"/>
            </a:ext>
          </a:extLst>
        </xdr:cNvPr>
        <xdr:cNvGrpSpPr/>
      </xdr:nvGrpSpPr>
      <xdr:grpSpPr>
        <a:xfrm>
          <a:off x="1576335" y="15284512"/>
          <a:ext cx="3388296" cy="609182"/>
          <a:chOff x="14047282" y="1355168"/>
          <a:chExt cx="3394974" cy="486295"/>
        </a:xfrm>
      </xdr:grpSpPr>
      <xdr:sp macro="" textlink="">
        <xdr:nvSpPr>
          <xdr:cNvPr id="68" name="Rectangle: Top Corners One Rounded and One Snipped 67">
            <a:extLst>
              <a:ext uri="{FF2B5EF4-FFF2-40B4-BE49-F238E27FC236}">
                <a16:creationId xmlns:a16="http://schemas.microsoft.com/office/drawing/2014/main" id="{5D87A6CF-AADC-A4B9-10D3-17883CBF1591}"/>
              </a:ext>
            </a:extLst>
          </xdr:cNvPr>
          <xdr:cNvSpPr/>
        </xdr:nvSpPr>
        <xdr:spPr>
          <a:xfrm>
            <a:off x="14047282" y="1355168"/>
            <a:ext cx="168921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9" name="Rectangle: Top Corners One Rounded and One Snipped 68">
            <a:extLst>
              <a:ext uri="{FF2B5EF4-FFF2-40B4-BE49-F238E27FC236}">
                <a16:creationId xmlns:a16="http://schemas.microsoft.com/office/drawing/2014/main" id="{D23709F8-AA76-0D3A-C9A9-98E5B420CA5B}"/>
              </a:ext>
            </a:extLst>
          </xdr:cNvPr>
          <xdr:cNvSpPr/>
        </xdr:nvSpPr>
        <xdr:spPr>
          <a:xfrm>
            <a:off x="15753640" y="1365213"/>
            <a:ext cx="1688616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13</xdr:col>
      <xdr:colOff>516133</xdr:colOff>
      <xdr:row>69</xdr:row>
      <xdr:rowOff>5862</xdr:rowOff>
    </xdr:from>
    <xdr:to>
      <xdr:col>17</xdr:col>
      <xdr:colOff>108443</xdr:colOff>
      <xdr:row>71</xdr:row>
      <xdr:rowOff>101112</xdr:rowOff>
    </xdr:to>
    <xdr:sp macro="" textlink="">
      <xdr:nvSpPr>
        <xdr:cNvPr id="70" name="Rectangle: Top Corners One Rounded and One Snipped 69">
          <a:extLst>
            <a:ext uri="{FF2B5EF4-FFF2-40B4-BE49-F238E27FC236}">
              <a16:creationId xmlns:a16="http://schemas.microsoft.com/office/drawing/2014/main" id="{50128FD3-0DAB-4EB9-9E1A-E2DC7D3A6A96}"/>
            </a:ext>
          </a:extLst>
        </xdr:cNvPr>
        <xdr:cNvSpPr/>
      </xdr:nvSpPr>
      <xdr:spPr>
        <a:xfrm>
          <a:off x="16318108" y="15360162"/>
          <a:ext cx="1716385" cy="57150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954284</xdr:colOff>
      <xdr:row>69</xdr:row>
      <xdr:rowOff>4396</xdr:rowOff>
    </xdr:from>
    <xdr:to>
      <xdr:col>13</xdr:col>
      <xdr:colOff>480651</xdr:colOff>
      <xdr:row>71</xdr:row>
      <xdr:rowOff>99646</xdr:rowOff>
    </xdr:to>
    <xdr:sp macro="" textlink="">
      <xdr:nvSpPr>
        <xdr:cNvPr id="71" name="Rectangle: Top Corners One Rounded and One Snipped 70">
          <a:extLst>
            <a:ext uri="{FF2B5EF4-FFF2-40B4-BE49-F238E27FC236}">
              <a16:creationId xmlns:a16="http://schemas.microsoft.com/office/drawing/2014/main" id="{D5576D51-DCEB-44A3-990A-1E9E98D4FD35}"/>
            </a:ext>
          </a:extLst>
        </xdr:cNvPr>
        <xdr:cNvSpPr/>
      </xdr:nvSpPr>
      <xdr:spPr>
        <a:xfrm>
          <a:off x="14575034" y="15358696"/>
          <a:ext cx="1707592" cy="57150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258352</xdr:colOff>
      <xdr:row>72</xdr:row>
      <xdr:rowOff>43650</xdr:rowOff>
    </xdr:from>
    <xdr:to>
      <xdr:col>3</xdr:col>
      <xdr:colOff>2642</xdr:colOff>
      <xdr:row>79</xdr:row>
      <xdr:rowOff>322384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EFADD6BB-63C4-42BB-A3BA-5A2D6164629D}"/>
            </a:ext>
          </a:extLst>
        </xdr:cNvPr>
        <xdr:cNvSpPr/>
      </xdr:nvSpPr>
      <xdr:spPr>
        <a:xfrm>
          <a:off x="10707277" y="16112325"/>
          <a:ext cx="353890" cy="1612234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twoCellAnchor>
    <xdr:from>
      <xdr:col>4</xdr:col>
      <xdr:colOff>73270</xdr:colOff>
      <xdr:row>87</xdr:row>
      <xdr:rowOff>36635</xdr:rowOff>
    </xdr:from>
    <xdr:to>
      <xdr:col>4</xdr:col>
      <xdr:colOff>190501</xdr:colOff>
      <xdr:row>87</xdr:row>
      <xdr:rowOff>153866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94289E34-5D38-41C0-862E-02C4B73F6B59}"/>
            </a:ext>
          </a:extLst>
        </xdr:cNvPr>
        <xdr:cNvSpPr/>
      </xdr:nvSpPr>
      <xdr:spPr>
        <a:xfrm>
          <a:off x="11284195" y="1916283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86</xdr:row>
      <xdr:rowOff>65941</xdr:rowOff>
    </xdr:from>
    <xdr:to>
      <xdr:col>4</xdr:col>
      <xdr:colOff>190500</xdr:colOff>
      <xdr:row>86</xdr:row>
      <xdr:rowOff>183172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297A4400-9830-4A89-9796-9807143D1F28}"/>
            </a:ext>
          </a:extLst>
        </xdr:cNvPr>
        <xdr:cNvSpPr/>
      </xdr:nvSpPr>
      <xdr:spPr>
        <a:xfrm>
          <a:off x="11284194" y="18992116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89</xdr:row>
      <xdr:rowOff>43960</xdr:rowOff>
    </xdr:from>
    <xdr:to>
      <xdr:col>4</xdr:col>
      <xdr:colOff>190501</xdr:colOff>
      <xdr:row>89</xdr:row>
      <xdr:rowOff>161191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970DF67A-3FCD-43FE-837E-0755C3570D2B}"/>
            </a:ext>
          </a:extLst>
        </xdr:cNvPr>
        <xdr:cNvSpPr/>
      </xdr:nvSpPr>
      <xdr:spPr>
        <a:xfrm>
          <a:off x="11284195" y="19570210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90</xdr:row>
      <xdr:rowOff>51287</xdr:rowOff>
    </xdr:from>
    <xdr:to>
      <xdr:col>4</xdr:col>
      <xdr:colOff>190501</xdr:colOff>
      <xdr:row>90</xdr:row>
      <xdr:rowOff>168518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44E8517-98EF-489E-83A0-AB323499EDF3}"/>
            </a:ext>
          </a:extLst>
        </xdr:cNvPr>
        <xdr:cNvSpPr/>
      </xdr:nvSpPr>
      <xdr:spPr>
        <a:xfrm>
          <a:off x="11284195" y="19777562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81</xdr:row>
      <xdr:rowOff>36635</xdr:rowOff>
    </xdr:from>
    <xdr:to>
      <xdr:col>4</xdr:col>
      <xdr:colOff>190501</xdr:colOff>
      <xdr:row>81</xdr:row>
      <xdr:rowOff>153866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DF7016FE-14AD-46D3-8E26-953508B0B499}"/>
            </a:ext>
          </a:extLst>
        </xdr:cNvPr>
        <xdr:cNvSpPr/>
      </xdr:nvSpPr>
      <xdr:spPr>
        <a:xfrm>
          <a:off x="11284195" y="1796268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80</xdr:row>
      <xdr:rowOff>65941</xdr:rowOff>
    </xdr:from>
    <xdr:to>
      <xdr:col>4</xdr:col>
      <xdr:colOff>190500</xdr:colOff>
      <xdr:row>80</xdr:row>
      <xdr:rowOff>183172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9AA733C9-EF5F-4E0D-9130-761C788C4CA5}"/>
            </a:ext>
          </a:extLst>
        </xdr:cNvPr>
        <xdr:cNvSpPr/>
      </xdr:nvSpPr>
      <xdr:spPr>
        <a:xfrm>
          <a:off x="11284194" y="17791966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65943</xdr:colOff>
      <xdr:row>45</xdr:row>
      <xdr:rowOff>36634</xdr:rowOff>
    </xdr:from>
    <xdr:to>
      <xdr:col>4</xdr:col>
      <xdr:colOff>183174</xdr:colOff>
      <xdr:row>45</xdr:row>
      <xdr:rowOff>153865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CE9E674E-4FB4-4B2E-B087-443CC3BC4F99}"/>
            </a:ext>
          </a:extLst>
        </xdr:cNvPr>
        <xdr:cNvSpPr/>
      </xdr:nvSpPr>
      <xdr:spPr>
        <a:xfrm>
          <a:off x="11276868" y="984738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65943</xdr:colOff>
      <xdr:row>46</xdr:row>
      <xdr:rowOff>36634</xdr:rowOff>
    </xdr:from>
    <xdr:to>
      <xdr:col>4</xdr:col>
      <xdr:colOff>183174</xdr:colOff>
      <xdr:row>46</xdr:row>
      <xdr:rowOff>153865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C69D3836-83CC-414F-8FF7-F91C5AFF3335}"/>
            </a:ext>
          </a:extLst>
        </xdr:cNvPr>
        <xdr:cNvSpPr/>
      </xdr:nvSpPr>
      <xdr:spPr>
        <a:xfrm>
          <a:off x="11276868" y="1003788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65943</xdr:colOff>
      <xdr:row>75</xdr:row>
      <xdr:rowOff>36634</xdr:rowOff>
    </xdr:from>
    <xdr:to>
      <xdr:col>4</xdr:col>
      <xdr:colOff>183174</xdr:colOff>
      <xdr:row>75</xdr:row>
      <xdr:rowOff>153865</xdr:rowOff>
    </xdr:to>
    <xdr:sp macro="" textlink="">
      <xdr:nvSpPr>
        <xdr:cNvPr id="96" name="Flowchart: Connector 95">
          <a:extLst>
            <a:ext uri="{FF2B5EF4-FFF2-40B4-BE49-F238E27FC236}">
              <a16:creationId xmlns:a16="http://schemas.microsoft.com/office/drawing/2014/main" id="{6D8150B6-8317-4786-8F79-06BEACAAEB3A}"/>
            </a:ext>
          </a:extLst>
        </xdr:cNvPr>
        <xdr:cNvSpPr/>
      </xdr:nvSpPr>
      <xdr:spPr>
        <a:xfrm>
          <a:off x="11276868" y="1676253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65943</xdr:colOff>
      <xdr:row>76</xdr:row>
      <xdr:rowOff>36634</xdr:rowOff>
    </xdr:from>
    <xdr:to>
      <xdr:col>4</xdr:col>
      <xdr:colOff>183174</xdr:colOff>
      <xdr:row>76</xdr:row>
      <xdr:rowOff>153865</xdr:rowOff>
    </xdr:to>
    <xdr:sp macro="" textlink="">
      <xdr:nvSpPr>
        <xdr:cNvPr id="97" name="Flowchart: Connector 96">
          <a:extLst>
            <a:ext uri="{FF2B5EF4-FFF2-40B4-BE49-F238E27FC236}">
              <a16:creationId xmlns:a16="http://schemas.microsoft.com/office/drawing/2014/main" id="{DFFDBBD3-32A0-49AA-8198-50DCB2DC1E90}"/>
            </a:ext>
          </a:extLst>
        </xdr:cNvPr>
        <xdr:cNvSpPr/>
      </xdr:nvSpPr>
      <xdr:spPr>
        <a:xfrm>
          <a:off x="11276868" y="16962559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63744</xdr:colOff>
      <xdr:row>75</xdr:row>
      <xdr:rowOff>38099</xdr:rowOff>
    </xdr:from>
    <xdr:to>
      <xdr:col>4</xdr:col>
      <xdr:colOff>171450</xdr:colOff>
      <xdr:row>75</xdr:row>
      <xdr:rowOff>152400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EEE1EFA8-A138-4858-9343-F69C12F9801E}"/>
            </a:ext>
          </a:extLst>
        </xdr:cNvPr>
        <xdr:cNvSpPr/>
      </xdr:nvSpPr>
      <xdr:spPr>
        <a:xfrm>
          <a:off x="11274669" y="16763999"/>
          <a:ext cx="107706" cy="11430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93</xdr:row>
      <xdr:rowOff>36635</xdr:rowOff>
    </xdr:from>
    <xdr:to>
      <xdr:col>4</xdr:col>
      <xdr:colOff>190501</xdr:colOff>
      <xdr:row>93</xdr:row>
      <xdr:rowOff>153866</xdr:rowOff>
    </xdr:to>
    <xdr:sp macro="" textlink="">
      <xdr:nvSpPr>
        <xdr:cNvPr id="99" name="Flowchart: Connector 98">
          <a:extLst>
            <a:ext uri="{FF2B5EF4-FFF2-40B4-BE49-F238E27FC236}">
              <a16:creationId xmlns:a16="http://schemas.microsoft.com/office/drawing/2014/main" id="{8A698279-6A0B-4832-BB15-9C41F8542C36}"/>
            </a:ext>
          </a:extLst>
        </xdr:cNvPr>
        <xdr:cNvSpPr/>
      </xdr:nvSpPr>
      <xdr:spPr>
        <a:xfrm>
          <a:off x="11284195" y="2036298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92</xdr:row>
      <xdr:rowOff>65941</xdr:rowOff>
    </xdr:from>
    <xdr:to>
      <xdr:col>4</xdr:col>
      <xdr:colOff>190500</xdr:colOff>
      <xdr:row>92</xdr:row>
      <xdr:rowOff>183172</xdr:rowOff>
    </xdr:to>
    <xdr:sp macro="" textlink="">
      <xdr:nvSpPr>
        <xdr:cNvPr id="100" name="Flowchart: Connector 99">
          <a:extLst>
            <a:ext uri="{FF2B5EF4-FFF2-40B4-BE49-F238E27FC236}">
              <a16:creationId xmlns:a16="http://schemas.microsoft.com/office/drawing/2014/main" id="{0F118BD8-E156-4650-913E-96D94E5AA5EC}"/>
            </a:ext>
          </a:extLst>
        </xdr:cNvPr>
        <xdr:cNvSpPr/>
      </xdr:nvSpPr>
      <xdr:spPr>
        <a:xfrm>
          <a:off x="11284194" y="20192266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73270</xdr:colOff>
      <xdr:row>84</xdr:row>
      <xdr:rowOff>36635</xdr:rowOff>
    </xdr:from>
    <xdr:to>
      <xdr:col>4</xdr:col>
      <xdr:colOff>190501</xdr:colOff>
      <xdr:row>84</xdr:row>
      <xdr:rowOff>153866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1E2A7F43-D309-4EA5-BF20-A69F4812FA78}"/>
            </a:ext>
          </a:extLst>
        </xdr:cNvPr>
        <xdr:cNvSpPr/>
      </xdr:nvSpPr>
      <xdr:spPr>
        <a:xfrm>
          <a:off x="11284195" y="18562760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73269</xdr:colOff>
      <xdr:row>83</xdr:row>
      <xdr:rowOff>65941</xdr:rowOff>
    </xdr:from>
    <xdr:to>
      <xdr:col>4</xdr:col>
      <xdr:colOff>190500</xdr:colOff>
      <xdr:row>83</xdr:row>
      <xdr:rowOff>183172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F8DCF50F-0DF4-4FBC-BABE-4C4CC9CC2612}"/>
            </a:ext>
          </a:extLst>
        </xdr:cNvPr>
        <xdr:cNvSpPr/>
      </xdr:nvSpPr>
      <xdr:spPr>
        <a:xfrm>
          <a:off x="11284194" y="183920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25</xdr:col>
      <xdr:colOff>0</xdr:colOff>
      <xdr:row>81</xdr:row>
      <xdr:rowOff>0</xdr:rowOff>
    </xdr:from>
    <xdr:to>
      <xdr:col>30</xdr:col>
      <xdr:colOff>591518</xdr:colOff>
      <xdr:row>85</xdr:row>
      <xdr:rowOff>162059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FA53F61-E6DD-481C-A723-A67B6F21C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859875" y="17926050"/>
          <a:ext cx="6944694" cy="962159"/>
        </a:xfrm>
        <a:prstGeom prst="rect">
          <a:avLst/>
        </a:prstGeom>
      </xdr:spPr>
    </xdr:pic>
    <xdr:clientData/>
  </xdr:twoCellAnchor>
  <xdr:twoCellAnchor editAs="oneCell">
    <xdr:from>
      <xdr:col>25</xdr:col>
      <xdr:colOff>33131</xdr:colOff>
      <xdr:row>94</xdr:row>
      <xdr:rowOff>16565</xdr:rowOff>
    </xdr:from>
    <xdr:to>
      <xdr:col>27</xdr:col>
      <xdr:colOff>1624481</xdr:colOff>
      <xdr:row>104</xdr:row>
      <xdr:rowOff>92490</xdr:rowOff>
    </xdr:to>
    <xdr:pic>
      <xdr:nvPicPr>
        <xdr:cNvPr id="104" name="Picture 19">
          <a:extLst>
            <a:ext uri="{FF2B5EF4-FFF2-40B4-BE49-F238E27FC236}">
              <a16:creationId xmlns:a16="http://schemas.microsoft.com/office/drawing/2014/main" id="{080D8D27-0570-4D45-B85F-F2752760F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893006" y="20542940"/>
          <a:ext cx="4839375" cy="204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600075</xdr:colOff>
      <xdr:row>2</xdr:row>
      <xdr:rowOff>0</xdr:rowOff>
    </xdr:from>
    <xdr:to>
      <xdr:col>39</xdr:col>
      <xdr:colOff>528913</xdr:colOff>
      <xdr:row>6</xdr:row>
      <xdr:rowOff>103761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CBDF0-F1A0-B729-C5FE-A3EACFB60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571500"/>
          <a:ext cx="1397487" cy="786087"/>
        </a:xfrm>
        <a:prstGeom prst="rect">
          <a:avLst/>
        </a:prstGeom>
      </xdr:spPr>
    </xdr:pic>
    <xdr:clientData/>
  </xdr:twoCellAnchor>
  <xdr:twoCellAnchor>
    <xdr:from>
      <xdr:col>37</xdr:col>
      <xdr:colOff>133350</xdr:colOff>
      <xdr:row>10</xdr:row>
      <xdr:rowOff>171450</xdr:rowOff>
    </xdr:from>
    <xdr:to>
      <xdr:col>38</xdr:col>
      <xdr:colOff>9525</xdr:colOff>
      <xdr:row>18</xdr:row>
      <xdr:rowOff>190500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0131444-B0A8-A7A9-F5CE-638AF88C1CA4}"/>
            </a:ext>
          </a:extLst>
        </xdr:cNvPr>
        <xdr:cNvSpPr/>
      </xdr:nvSpPr>
      <xdr:spPr>
        <a:xfrm>
          <a:off x="11193556" y="20431685"/>
          <a:ext cx="33057" cy="159908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GEDUNG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twoCellAnchor>
    <xdr:from>
      <xdr:col>37</xdr:col>
      <xdr:colOff>523875</xdr:colOff>
      <xdr:row>7</xdr:row>
      <xdr:rowOff>123825</xdr:rowOff>
    </xdr:from>
    <xdr:to>
      <xdr:col>46</xdr:col>
      <xdr:colOff>123411</xdr:colOff>
      <xdr:row>10</xdr:row>
      <xdr:rowOff>47625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5CADAFB0-8A42-3900-043C-8C287CA0F03A}"/>
            </a:ext>
            <a:ext uri="{147F2762-F138-4A5C-976F-8EAC2B608ADB}">
              <a16:predDERef xmlns:a16="http://schemas.microsoft.com/office/drawing/2014/main" pred="{F0131444-B0A8-A7A9-F5CE-638AF88C1CA4}"/>
            </a:ext>
          </a:extLst>
        </xdr:cNvPr>
        <xdr:cNvGrpSpPr/>
      </xdr:nvGrpSpPr>
      <xdr:grpSpPr>
        <a:xfrm>
          <a:off x="21501287" y="1490943"/>
          <a:ext cx="9158153" cy="495300"/>
          <a:chOff x="1093304" y="7475468"/>
          <a:chExt cx="8100392" cy="495300"/>
        </a:xfrm>
      </xdr:grpSpPr>
      <xdr:sp macro="" textlink="">
        <xdr:nvSpPr>
          <xdr:cNvPr id="11" name="Rectangle: Top Corners One Rounded and One Snipped 10">
            <a:extLst>
              <a:ext uri="{FF2B5EF4-FFF2-40B4-BE49-F238E27FC236}">
                <a16:creationId xmlns:a16="http://schemas.microsoft.com/office/drawing/2014/main" id="{6122C130-9052-AC45-6812-E4A71D501404}"/>
              </a:ext>
            </a:extLst>
          </xdr:cNvPr>
          <xdr:cNvSpPr/>
        </xdr:nvSpPr>
        <xdr:spPr>
          <a:xfrm>
            <a:off x="1093304" y="7475468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Dokumen Syarat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12" name="Rectangle: Top Corners One Rounded and One Snipped 11">
            <a:extLst>
              <a:ext uri="{FF2B5EF4-FFF2-40B4-BE49-F238E27FC236}">
                <a16:creationId xmlns:a16="http://schemas.microsoft.com/office/drawing/2014/main" id="{F8B179F1-8387-49FE-87BD-D988693941CD}"/>
              </a:ext>
            </a:extLst>
          </xdr:cNvPr>
          <xdr:cNvSpPr/>
        </xdr:nvSpPr>
        <xdr:spPr>
          <a:xfrm>
            <a:off x="3144076" y="7484993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Rectangle: Top Corners One Rounded and One Snipped 4">
            <a:extLst>
              <a:ext uri="{FF2B5EF4-FFF2-40B4-BE49-F238E27FC236}">
                <a16:creationId xmlns:a16="http://schemas.microsoft.com/office/drawing/2014/main" id="{E7EB498B-C991-4275-B9EF-EB0EB9074699}"/>
              </a:ext>
            </a:extLst>
          </xdr:cNvPr>
          <xdr:cNvSpPr/>
        </xdr:nvSpPr>
        <xdr:spPr>
          <a:xfrm>
            <a:off x="5180536" y="7487714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One Rounded and One Snipped 6">
            <a:extLst>
              <a:ext uri="{FF2B5EF4-FFF2-40B4-BE49-F238E27FC236}">
                <a16:creationId xmlns:a16="http://schemas.microsoft.com/office/drawing/2014/main" id="{649F6311-8B4D-4E8D-A743-56FC8A8F7241}"/>
              </a:ext>
            </a:extLst>
          </xdr:cNvPr>
          <xdr:cNvSpPr/>
        </xdr:nvSpPr>
        <xdr:spPr>
          <a:xfrm>
            <a:off x="7219123" y="7494518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oneCellAnchor>
    <xdr:from>
      <xdr:col>16</xdr:col>
      <xdr:colOff>600075</xdr:colOff>
      <xdr:row>2</xdr:row>
      <xdr:rowOff>0</xdr:rowOff>
    </xdr:from>
    <xdr:ext cx="1396126" cy="783366"/>
    <xdr:pic>
      <xdr:nvPicPr>
        <xdr:cNvPr id="31" name="Picture 30">
          <a:extLst>
            <a:ext uri="{FF2B5EF4-FFF2-40B4-BE49-F238E27FC236}">
              <a16:creationId xmlns:a16="http://schemas.microsoft.com/office/drawing/2014/main" id="{5BF1823A-8AE4-4C91-9213-AA004C5C9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312964"/>
          <a:ext cx="1396126" cy="783366"/>
        </a:xfrm>
        <a:prstGeom prst="rect">
          <a:avLst/>
        </a:prstGeom>
      </xdr:spPr>
    </xdr:pic>
    <xdr:clientData/>
  </xdr:oneCellAnchor>
  <xdr:twoCellAnchor>
    <xdr:from>
      <xdr:col>31</xdr:col>
      <xdr:colOff>129273</xdr:colOff>
      <xdr:row>8</xdr:row>
      <xdr:rowOff>7327</xdr:rowOff>
    </xdr:from>
    <xdr:to>
      <xdr:col>33</xdr:col>
      <xdr:colOff>109909</xdr:colOff>
      <xdr:row>10</xdr:row>
      <xdr:rowOff>102577</xdr:rowOff>
    </xdr:to>
    <xdr:sp macro="" textlink="">
      <xdr:nvSpPr>
        <xdr:cNvPr id="36" name="Rectangle: Top Corners One Rounded and One Snipped 35">
          <a:extLst>
            <a:ext uri="{FF2B5EF4-FFF2-40B4-BE49-F238E27FC236}">
              <a16:creationId xmlns:a16="http://schemas.microsoft.com/office/drawing/2014/main" id="{A6A3F410-7D7B-45B0-9F88-DAD5797A4CBF}"/>
            </a:ext>
          </a:extLst>
        </xdr:cNvPr>
        <xdr:cNvSpPr/>
      </xdr:nvSpPr>
      <xdr:spPr>
        <a:xfrm>
          <a:off x="20945061" y="1377462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36</xdr:col>
      <xdr:colOff>600075</xdr:colOff>
      <xdr:row>47</xdr:row>
      <xdr:rowOff>0</xdr:rowOff>
    </xdr:from>
    <xdr:ext cx="1400563" cy="788987"/>
    <xdr:pic>
      <xdr:nvPicPr>
        <xdr:cNvPr id="84" name="Picture 83">
          <a:extLst>
            <a:ext uri="{FF2B5EF4-FFF2-40B4-BE49-F238E27FC236}">
              <a16:creationId xmlns:a16="http://schemas.microsoft.com/office/drawing/2014/main" id="{184F218C-C468-4529-9CE5-D59DA161A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6443870"/>
          <a:ext cx="1400563" cy="788987"/>
        </a:xfrm>
        <a:prstGeom prst="rect">
          <a:avLst/>
        </a:prstGeom>
      </xdr:spPr>
    </xdr:pic>
    <xdr:clientData/>
  </xdr:oneCellAnchor>
  <xdr:twoCellAnchor>
    <xdr:from>
      <xdr:col>37</xdr:col>
      <xdr:colOff>133350</xdr:colOff>
      <xdr:row>55</xdr:row>
      <xdr:rowOff>171449</xdr:rowOff>
    </xdr:from>
    <xdr:to>
      <xdr:col>38</xdr:col>
      <xdr:colOff>9525</xdr:colOff>
      <xdr:row>63</xdr:row>
      <xdr:rowOff>249115</xdr:rowOff>
    </xdr:to>
    <xdr:sp macro="" textlink="">
      <xdr:nvSpPr>
        <xdr:cNvPr id="87" name="Rectangle: Rounded Corners 86">
          <a:extLst>
            <a:ext uri="{FF2B5EF4-FFF2-40B4-BE49-F238E27FC236}">
              <a16:creationId xmlns:a16="http://schemas.microsoft.com/office/drawing/2014/main" id="{A2972089-4E77-486C-A4E6-FFB43356CB45}"/>
            </a:ext>
          </a:extLst>
        </xdr:cNvPr>
        <xdr:cNvSpPr/>
      </xdr:nvSpPr>
      <xdr:spPr>
        <a:xfrm>
          <a:off x="741485" y="17030699"/>
          <a:ext cx="352425" cy="1674935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GEDUNG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twoCellAnchor>
    <xdr:from>
      <xdr:col>38</xdr:col>
      <xdr:colOff>8283</xdr:colOff>
      <xdr:row>52</xdr:row>
      <xdr:rowOff>173934</xdr:rowOff>
    </xdr:from>
    <xdr:to>
      <xdr:col>46</xdr:col>
      <xdr:colOff>131694</xdr:colOff>
      <xdr:row>55</xdr:row>
      <xdr:rowOff>147430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BF559E8E-6A8B-4C4E-9E9D-4B84EE351E2C}"/>
            </a:ext>
          </a:extLst>
        </xdr:cNvPr>
        <xdr:cNvGrpSpPr/>
      </xdr:nvGrpSpPr>
      <xdr:grpSpPr>
        <a:xfrm>
          <a:off x="21590812" y="11704787"/>
          <a:ext cx="9076911" cy="544996"/>
          <a:chOff x="1093304" y="7475468"/>
          <a:chExt cx="8100392" cy="495300"/>
        </a:xfrm>
      </xdr:grpSpPr>
      <xdr:sp macro="" textlink="">
        <xdr:nvSpPr>
          <xdr:cNvPr id="104" name="Rectangle: Top Corners One Rounded and One Snipped 103">
            <a:extLst>
              <a:ext uri="{FF2B5EF4-FFF2-40B4-BE49-F238E27FC236}">
                <a16:creationId xmlns:a16="http://schemas.microsoft.com/office/drawing/2014/main" id="{2ED17924-5D3F-980C-E651-DD491CF934D9}"/>
              </a:ext>
            </a:extLst>
          </xdr:cNvPr>
          <xdr:cNvSpPr/>
        </xdr:nvSpPr>
        <xdr:spPr>
          <a:xfrm>
            <a:off x="1093304" y="7475468"/>
            <a:ext cx="202923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Dokumen Syarat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5" name="Rectangle: Top Corners One Rounded and One Snipped 104">
            <a:extLst>
              <a:ext uri="{FF2B5EF4-FFF2-40B4-BE49-F238E27FC236}">
                <a16:creationId xmlns:a16="http://schemas.microsoft.com/office/drawing/2014/main" id="{A2DE4DB5-2F08-F8D9-5B6C-9AAD130CB70D}"/>
              </a:ext>
            </a:extLst>
          </xdr:cNvPr>
          <xdr:cNvSpPr/>
        </xdr:nvSpPr>
        <xdr:spPr>
          <a:xfrm>
            <a:off x="3144076" y="7484993"/>
            <a:ext cx="2007705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Penginputan Pembayaran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6" name="Rectangle: Top Corners One Rounded and One Snipped 105">
            <a:extLst>
              <a:ext uri="{FF2B5EF4-FFF2-40B4-BE49-F238E27FC236}">
                <a16:creationId xmlns:a16="http://schemas.microsoft.com/office/drawing/2014/main" id="{2171848F-92C1-CBD3-D2CB-DBB8F2554AB4}"/>
              </a:ext>
            </a:extLst>
          </xdr:cNvPr>
          <xdr:cNvSpPr/>
        </xdr:nvSpPr>
        <xdr:spPr>
          <a:xfrm>
            <a:off x="5180536" y="7487714"/>
            <a:ext cx="201705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Pajak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7" name="Rectangle: Top Corners One Rounded and One Snipped 106">
            <a:extLst>
              <a:ext uri="{FF2B5EF4-FFF2-40B4-BE49-F238E27FC236}">
                <a16:creationId xmlns:a16="http://schemas.microsoft.com/office/drawing/2014/main" id="{EAAD8566-F734-5A00-0DAD-57A92ED23921}"/>
              </a:ext>
            </a:extLst>
          </xdr:cNvPr>
          <xdr:cNvSpPr/>
        </xdr:nvSpPr>
        <xdr:spPr>
          <a:xfrm>
            <a:off x="7219123" y="7494518"/>
            <a:ext cx="1974573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Form-form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42</xdr:col>
      <xdr:colOff>0</xdr:colOff>
      <xdr:row>64</xdr:row>
      <xdr:rowOff>19050</xdr:rowOff>
    </xdr:from>
    <xdr:to>
      <xdr:col>45</xdr:col>
      <xdr:colOff>85343</xdr:colOff>
      <xdr:row>65</xdr:row>
      <xdr:rowOff>83516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2EE8160D-AEB9-5693-03AC-DDC04A9D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41450" y="13573125"/>
          <a:ext cx="2285618" cy="302591"/>
        </a:xfrm>
        <a:prstGeom prst="rect">
          <a:avLst/>
        </a:prstGeom>
      </xdr:spPr>
    </xdr:pic>
    <xdr:clientData/>
  </xdr:twoCellAnchor>
  <xdr:twoCellAnchor editAs="oneCell">
    <xdr:from>
      <xdr:col>20</xdr:col>
      <xdr:colOff>1143000</xdr:colOff>
      <xdr:row>172</xdr:row>
      <xdr:rowOff>424961</xdr:rowOff>
    </xdr:from>
    <xdr:to>
      <xdr:col>39</xdr:col>
      <xdr:colOff>343413</xdr:colOff>
      <xdr:row>179</xdr:row>
      <xdr:rowOff>34601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E0117B26-707F-93E9-DEE1-86F0D729F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9981" y="22325134"/>
          <a:ext cx="8926171" cy="1181265"/>
        </a:xfrm>
        <a:prstGeom prst="rect">
          <a:avLst/>
        </a:prstGeom>
      </xdr:spPr>
    </xdr:pic>
    <xdr:clientData/>
  </xdr:twoCellAnchor>
  <xdr:twoCellAnchor>
    <xdr:from>
      <xdr:col>16</xdr:col>
      <xdr:colOff>300930</xdr:colOff>
      <xdr:row>7</xdr:row>
      <xdr:rowOff>116887</xdr:rowOff>
    </xdr:from>
    <xdr:to>
      <xdr:col>32</xdr:col>
      <xdr:colOff>146301</xdr:colOff>
      <xdr:row>20</xdr:row>
      <xdr:rowOff>256073</xdr:rowOff>
    </xdr:to>
    <xdr:grpSp>
      <xdr:nvGrpSpPr>
        <xdr:cNvPr id="140" name="Group 139">
          <a:extLst>
            <a:ext uri="{FF2B5EF4-FFF2-40B4-BE49-F238E27FC236}">
              <a16:creationId xmlns:a16="http://schemas.microsoft.com/office/drawing/2014/main" id="{575A358E-8382-3286-A8E4-04298325A932}"/>
            </a:ext>
          </a:extLst>
        </xdr:cNvPr>
        <xdr:cNvGrpSpPr/>
      </xdr:nvGrpSpPr>
      <xdr:grpSpPr>
        <a:xfrm>
          <a:off x="10756018" y="1484005"/>
          <a:ext cx="8854901" cy="2918244"/>
          <a:chOff x="13633730" y="1355168"/>
          <a:chExt cx="8872140" cy="2736643"/>
        </a:xfrm>
      </xdr:grpSpPr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62E09602-A105-18DF-9DF2-0FAD8BD9A4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672654" y="2398273"/>
            <a:ext cx="522964" cy="5215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500773B-6B15-4297-A850-2D4A163615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944148" y="2971557"/>
            <a:ext cx="166591" cy="165652"/>
          </a:xfrm>
          <a:prstGeom prst="rect">
            <a:avLst/>
          </a:prstGeom>
          <a:noFill/>
        </xdr:spPr>
      </xdr:pic>
      <xdr:pic>
        <xdr:nvPicPr>
          <xdr:cNvPr id="72" name="Picture 71">
            <a:extLst>
              <a:ext uri="{FF2B5EF4-FFF2-40B4-BE49-F238E27FC236}">
                <a16:creationId xmlns:a16="http://schemas.microsoft.com/office/drawing/2014/main" id="{E02D1547-7E06-437E-A976-78B7DE376F6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33751" y="2974870"/>
            <a:ext cx="166591" cy="165652"/>
          </a:xfrm>
          <a:prstGeom prst="rect">
            <a:avLst/>
          </a:prstGeom>
          <a:noFill/>
        </xdr:spPr>
      </xdr:pic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D96B8270-DF6D-4A9C-8C0C-D1DC80408F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270092" y="2976528"/>
            <a:ext cx="166591" cy="165652"/>
          </a:xfrm>
          <a:prstGeom prst="rect">
            <a:avLst/>
          </a:prstGeom>
          <a:noFill/>
        </xdr:spPr>
      </xdr:pic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A231644D-DBD6-4DA7-B6FE-7BDE83E0D7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37686" y="2979839"/>
            <a:ext cx="168184" cy="165652"/>
          </a:xfrm>
          <a:prstGeom prst="rect">
            <a:avLst/>
          </a:prstGeom>
          <a:noFill/>
        </xdr:spPr>
      </xdr:pic>
      <xdr:cxnSp macro="">
        <xdr:nvCxnSpPr>
          <xdr:cNvPr id="82" name="Connector: Elbow 81">
            <a:extLst>
              <a:ext uri="{FF2B5EF4-FFF2-40B4-BE49-F238E27FC236}">
                <a16:creationId xmlns:a16="http://schemas.microsoft.com/office/drawing/2014/main" id="{0DBEE21F-0AD5-1B9A-D47B-14AE45D4DC1F}"/>
              </a:ext>
            </a:extLst>
          </xdr:cNvPr>
          <xdr:cNvCxnSpPr>
            <a:stCxn id="71" idx="2"/>
          </xdr:cNvCxnSpPr>
        </xdr:nvCxnSpPr>
        <xdr:spPr>
          <a:xfrm rot="16200000" flipH="1">
            <a:off x="15798482" y="3366170"/>
            <a:ext cx="954603" cy="496680"/>
          </a:xfrm>
          <a:prstGeom prst="bentConnector3">
            <a:avLst>
              <a:gd name="adj1" fmla="val 99308"/>
            </a:avLst>
          </a:prstGeom>
          <a:ln>
            <a:solidFill>
              <a:srgbClr val="3C888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0B2149E2-F60D-DC80-150E-6760AE0490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775617" y="2408735"/>
            <a:ext cx="549106" cy="54951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33" name="Rectangle: Top Corners One Rounded and One Snipped 132">
            <a:extLst>
              <a:ext uri="{FF2B5EF4-FFF2-40B4-BE49-F238E27FC236}">
                <a16:creationId xmlns:a16="http://schemas.microsoft.com/office/drawing/2014/main" id="{1ED8D7E9-FA51-CFC9-81A4-8C4A6068C06C}"/>
              </a:ext>
            </a:extLst>
          </xdr:cNvPr>
          <xdr:cNvSpPr/>
        </xdr:nvSpPr>
        <xdr:spPr>
          <a:xfrm>
            <a:off x="14047282" y="1355168"/>
            <a:ext cx="168921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4" name="Rectangle: Top Corners One Rounded and One Snipped 133">
            <a:extLst>
              <a:ext uri="{FF2B5EF4-FFF2-40B4-BE49-F238E27FC236}">
                <a16:creationId xmlns:a16="http://schemas.microsoft.com/office/drawing/2014/main" id="{94A8FA7A-7353-69CD-F549-0EF27329D691}"/>
              </a:ext>
            </a:extLst>
          </xdr:cNvPr>
          <xdr:cNvSpPr/>
        </xdr:nvSpPr>
        <xdr:spPr>
          <a:xfrm>
            <a:off x="15753640" y="1365213"/>
            <a:ext cx="1688616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603B7BBB-6407-858C-3820-A965D337E1C6}"/>
              </a:ext>
            </a:extLst>
          </xdr:cNvPr>
          <xdr:cNvSpPr/>
        </xdr:nvSpPr>
        <xdr:spPr>
          <a:xfrm>
            <a:off x="13633730" y="1945719"/>
            <a:ext cx="348238" cy="1937549"/>
          </a:xfrm>
          <a:prstGeom prst="roundRect">
            <a:avLst/>
          </a:prstGeom>
          <a:ln/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vert="vert270" rtlCol="0" anchor="ctr" anchorCtr="0"/>
          <a:lstStyle/>
          <a:p>
            <a:pPr algn="ctr"/>
            <a:r>
              <a:rPr lang="en-US" sz="1200" b="1">
                <a:latin typeface="Segoe UI" panose="020B0502040204020203" pitchFamily="34" charset="0"/>
                <a:cs typeface="Segoe UI" panose="020B0502040204020203" pitchFamily="34" charset="0"/>
              </a:rPr>
              <a:t>Petunjuk Pembayaran  </a:t>
            </a:r>
            <a:r>
              <a:rPr lang="en-US" sz="900" b="1" strike="noStrike" baseline="30000">
                <a:latin typeface="Segoe UI" panose="020B0502040204020203" pitchFamily="34" charset="0"/>
                <a:cs typeface="Segoe UI" panose="020B0502040204020203" pitchFamily="34" charset="0"/>
              </a:rPr>
              <a:t>V</a:t>
            </a:r>
            <a:endParaRPr lang="id-ID" sz="1100" b="1" strike="noStrike" baseline="30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39" name="Picture 138">
            <a:extLst>
              <a:ext uri="{FF2B5EF4-FFF2-40B4-BE49-F238E27FC236}">
                <a16:creationId xmlns:a16="http://schemas.microsoft.com/office/drawing/2014/main" id="{3D9364A8-AB3E-BF8F-730B-B182EEA847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326969" y="2394833"/>
            <a:ext cx="523874" cy="5227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52</xdr:col>
      <xdr:colOff>600075</xdr:colOff>
      <xdr:row>2</xdr:row>
      <xdr:rowOff>0</xdr:rowOff>
    </xdr:from>
    <xdr:ext cx="1396126" cy="783366"/>
    <xdr:pic>
      <xdr:nvPicPr>
        <xdr:cNvPr id="141" name="Picture 140">
          <a:extLst>
            <a:ext uri="{FF2B5EF4-FFF2-40B4-BE49-F238E27FC236}">
              <a16:creationId xmlns:a16="http://schemas.microsoft.com/office/drawing/2014/main" id="{6DB80B20-9E81-4B82-87E5-AA797634A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2402" y="315058"/>
          <a:ext cx="1396126" cy="783366"/>
        </a:xfrm>
        <a:prstGeom prst="rect">
          <a:avLst/>
        </a:prstGeom>
      </xdr:spPr>
    </xdr:pic>
    <xdr:clientData/>
  </xdr:oneCellAnchor>
  <xdr:twoCellAnchor>
    <xdr:from>
      <xdr:col>53</xdr:col>
      <xdr:colOff>74839</xdr:colOff>
      <xdr:row>7</xdr:row>
      <xdr:rowOff>175533</xdr:rowOff>
    </xdr:from>
    <xdr:to>
      <xdr:col>55</xdr:col>
      <xdr:colOff>1020536</xdr:colOff>
      <xdr:row>10</xdr:row>
      <xdr:rowOff>80283</xdr:rowOff>
    </xdr:to>
    <xdr:sp macro="" textlink="">
      <xdr:nvSpPr>
        <xdr:cNvPr id="142" name="Rectangle: Top Corners One Rounded and One Snipped 141">
          <a:extLst>
            <a:ext uri="{FF2B5EF4-FFF2-40B4-BE49-F238E27FC236}">
              <a16:creationId xmlns:a16="http://schemas.microsoft.com/office/drawing/2014/main" id="{E12C7B9D-6474-498B-972E-F31D85E8010F}"/>
            </a:ext>
          </a:extLst>
        </xdr:cNvPr>
        <xdr:cNvSpPr/>
      </xdr:nvSpPr>
      <xdr:spPr>
        <a:xfrm>
          <a:off x="14025301" y="1355168"/>
          <a:ext cx="134135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Informasi</a:t>
          </a:r>
          <a:endParaRPr lang="id-ID" sz="11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1034142</xdr:colOff>
      <xdr:row>7</xdr:row>
      <xdr:rowOff>178251</xdr:rowOff>
    </xdr:from>
    <xdr:to>
      <xdr:col>59</xdr:col>
      <xdr:colOff>34017</xdr:colOff>
      <xdr:row>10</xdr:row>
      <xdr:rowOff>83001</xdr:rowOff>
    </xdr:to>
    <xdr:sp macro="" textlink="">
      <xdr:nvSpPr>
        <xdr:cNvPr id="143" name="Rectangle: Top Corners One Rounded and One Snipped 142">
          <a:extLst>
            <a:ext uri="{FF2B5EF4-FFF2-40B4-BE49-F238E27FC236}">
              <a16:creationId xmlns:a16="http://schemas.microsoft.com/office/drawing/2014/main" id="{85AD12D1-5582-47C9-9005-CF8556F099BA}"/>
            </a:ext>
          </a:extLst>
        </xdr:cNvPr>
        <xdr:cNvSpPr/>
      </xdr:nvSpPr>
      <xdr:spPr>
        <a:xfrm>
          <a:off x="15380257" y="1357886"/>
          <a:ext cx="1161318" cy="476250"/>
        </a:xfrm>
        <a:prstGeom prst="snipRoundRect">
          <a:avLst>
            <a:gd name="adj1" fmla="val 16667"/>
            <a:gd name="adj2" fmla="val 50000"/>
          </a:avLst>
        </a:prstGeom>
        <a:solidFill>
          <a:schemeClr val="bg2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Petunjuk Pembayaran</a:t>
          </a:r>
        </a:p>
      </xdr:txBody>
    </xdr:sp>
    <xdr:clientData/>
  </xdr:twoCellAnchor>
  <xdr:twoCellAnchor>
    <xdr:from>
      <xdr:col>59</xdr:col>
      <xdr:colOff>1367518</xdr:colOff>
      <xdr:row>7</xdr:row>
      <xdr:rowOff>187777</xdr:rowOff>
    </xdr:from>
    <xdr:to>
      <xdr:col>63</xdr:col>
      <xdr:colOff>306160</xdr:colOff>
      <xdr:row>10</xdr:row>
      <xdr:rowOff>92527</xdr:rowOff>
    </xdr:to>
    <xdr:sp macro="" textlink="">
      <xdr:nvSpPr>
        <xdr:cNvPr id="144" name="Rectangle: Top Corners One Rounded and One Snipped 143">
          <a:extLst>
            <a:ext uri="{FF2B5EF4-FFF2-40B4-BE49-F238E27FC236}">
              <a16:creationId xmlns:a16="http://schemas.microsoft.com/office/drawing/2014/main" id="{F50F18CD-F834-4911-B0A9-5D21253A503E}"/>
            </a:ext>
          </a:extLst>
        </xdr:cNvPr>
        <xdr:cNvSpPr/>
      </xdr:nvSpPr>
      <xdr:spPr>
        <a:xfrm>
          <a:off x="17875076" y="1367412"/>
          <a:ext cx="1114738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1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54427</xdr:colOff>
      <xdr:row>7</xdr:row>
      <xdr:rowOff>183694</xdr:rowOff>
    </xdr:from>
    <xdr:to>
      <xdr:col>59</xdr:col>
      <xdr:colOff>1347107</xdr:colOff>
      <xdr:row>10</xdr:row>
      <xdr:rowOff>88444</xdr:rowOff>
    </xdr:to>
    <xdr:sp macro="" textlink="">
      <xdr:nvSpPr>
        <xdr:cNvPr id="145" name="Rectangle: Top Corners One Rounded and One Snipped 144">
          <a:extLst>
            <a:ext uri="{FF2B5EF4-FFF2-40B4-BE49-F238E27FC236}">
              <a16:creationId xmlns:a16="http://schemas.microsoft.com/office/drawing/2014/main" id="{01721C8C-EE7C-4D8A-9BA7-F0CA47DE7053}"/>
            </a:ext>
          </a:extLst>
        </xdr:cNvPr>
        <xdr:cNvSpPr/>
      </xdr:nvSpPr>
      <xdr:spPr>
        <a:xfrm>
          <a:off x="16561985" y="1363329"/>
          <a:ext cx="129268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Open Item</a:t>
          </a:r>
          <a:endParaRPr lang="id-ID" sz="11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319768</xdr:colOff>
      <xdr:row>8</xdr:row>
      <xdr:rowOff>0</xdr:rowOff>
    </xdr:from>
    <xdr:to>
      <xdr:col>64</xdr:col>
      <xdr:colOff>122464</xdr:colOff>
      <xdr:row>10</xdr:row>
      <xdr:rowOff>95250</xdr:rowOff>
    </xdr:to>
    <xdr:sp macro="" textlink="">
      <xdr:nvSpPr>
        <xdr:cNvPr id="146" name="Rectangle: Top Corners One Rounded and One Snipped 145">
          <a:extLst>
            <a:ext uri="{FF2B5EF4-FFF2-40B4-BE49-F238E27FC236}">
              <a16:creationId xmlns:a16="http://schemas.microsoft.com/office/drawing/2014/main" id="{F1CB865A-4E44-463C-B596-A5587C0521FF}"/>
            </a:ext>
          </a:extLst>
        </xdr:cNvPr>
        <xdr:cNvSpPr/>
      </xdr:nvSpPr>
      <xdr:spPr>
        <a:xfrm>
          <a:off x="19003422" y="1370135"/>
          <a:ext cx="1356004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269422</xdr:colOff>
      <xdr:row>11</xdr:row>
      <xdr:rowOff>4084</xdr:rowOff>
    </xdr:from>
    <xdr:to>
      <xdr:col>53</xdr:col>
      <xdr:colOff>9525</xdr:colOff>
      <xdr:row>19</xdr:row>
      <xdr:rowOff>146959</xdr:rowOff>
    </xdr:to>
    <xdr:sp macro="" textlink="">
      <xdr:nvSpPr>
        <xdr:cNvPr id="147" name="Rectangle: Rounded Corners 146">
          <a:extLst>
            <a:ext uri="{FF2B5EF4-FFF2-40B4-BE49-F238E27FC236}">
              <a16:creationId xmlns:a16="http://schemas.microsoft.com/office/drawing/2014/main" id="{AF04DF39-9B61-4ED4-A284-D2138F0A1672}"/>
            </a:ext>
          </a:extLst>
        </xdr:cNvPr>
        <xdr:cNvSpPr/>
      </xdr:nvSpPr>
      <xdr:spPr>
        <a:xfrm>
          <a:off x="13611749" y="1945719"/>
          <a:ext cx="348238" cy="1906465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200" b="1"/>
            <a:t>Petunjuk Pembayaran </a:t>
          </a:r>
          <a:r>
            <a:rPr lang="en-US" sz="900" b="1" strike="noStrike" baseline="30000"/>
            <a:t>V</a:t>
          </a:r>
          <a:endParaRPr lang="id-ID" sz="1100" b="1" strike="noStrike" baseline="30000"/>
        </a:p>
      </xdr:txBody>
    </xdr:sp>
    <xdr:clientData/>
  </xdr:twoCellAnchor>
  <xdr:oneCellAnchor>
    <xdr:from>
      <xdr:col>55</xdr:col>
      <xdr:colOff>1000126</xdr:colOff>
      <xdr:row>13</xdr:row>
      <xdr:rowOff>62400</xdr:rowOff>
    </xdr:from>
    <xdr:ext cx="523874" cy="522706"/>
    <xdr:pic>
      <xdr:nvPicPr>
        <xdr:cNvPr id="148" name="Picture 147">
          <a:extLst>
            <a:ext uri="{FF2B5EF4-FFF2-40B4-BE49-F238E27FC236}">
              <a16:creationId xmlns:a16="http://schemas.microsoft.com/office/drawing/2014/main" id="{EFF527B6-6580-4BBB-AE78-34AC654C6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6241" y="2421669"/>
          <a:ext cx="523874" cy="52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53</xdr:col>
      <xdr:colOff>95047</xdr:colOff>
      <xdr:row>7</xdr:row>
      <xdr:rowOff>175533</xdr:rowOff>
    </xdr:from>
    <xdr:to>
      <xdr:col>68</xdr:col>
      <xdr:colOff>136773</xdr:colOff>
      <xdr:row>22</xdr:row>
      <xdr:rowOff>21984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F1B97573-D879-4B57-8098-F26AA411FDC1}"/>
            </a:ext>
          </a:extLst>
        </xdr:cNvPr>
        <xdr:cNvGrpSpPr/>
      </xdr:nvGrpSpPr>
      <xdr:grpSpPr>
        <a:xfrm>
          <a:off x="34889312" y="1542651"/>
          <a:ext cx="8457343" cy="3253039"/>
          <a:chOff x="14047282" y="1355168"/>
          <a:chExt cx="8458588" cy="3048316"/>
        </a:xfrm>
      </xdr:grpSpPr>
      <xdr:pic>
        <xdr:nvPicPr>
          <xdr:cNvPr id="150" name="Picture 149">
            <a:extLst>
              <a:ext uri="{FF2B5EF4-FFF2-40B4-BE49-F238E27FC236}">
                <a16:creationId xmlns:a16="http://schemas.microsoft.com/office/drawing/2014/main" id="{2016B477-054E-5FD0-A9E4-1AEDF32BEF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480378" y="2538573"/>
            <a:ext cx="490161" cy="489068"/>
          </a:xfrm>
          <a:prstGeom prst="rect">
            <a:avLst/>
          </a:prstGeom>
          <a:noFill/>
        </xdr:spPr>
      </xdr:pic>
      <xdr:pic>
        <xdr:nvPicPr>
          <xdr:cNvPr id="151" name="Picture 150">
            <a:extLst>
              <a:ext uri="{FF2B5EF4-FFF2-40B4-BE49-F238E27FC236}">
                <a16:creationId xmlns:a16="http://schemas.microsoft.com/office/drawing/2014/main" id="{9F244B32-8C6C-3794-9160-47AF535F7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653630" y="2524177"/>
            <a:ext cx="522964" cy="5215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2" name="Picture 151">
            <a:extLst>
              <a:ext uri="{FF2B5EF4-FFF2-40B4-BE49-F238E27FC236}">
                <a16:creationId xmlns:a16="http://schemas.microsoft.com/office/drawing/2014/main" id="{1339DD5C-AEC0-9FBF-64E4-67C6BED2DB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944148" y="3310941"/>
            <a:ext cx="166591" cy="165652"/>
          </a:xfrm>
          <a:prstGeom prst="rect">
            <a:avLst/>
          </a:prstGeom>
          <a:noFill/>
        </xdr:spPr>
      </xdr:pic>
      <xdr:pic>
        <xdr:nvPicPr>
          <xdr:cNvPr id="153" name="Picture 152">
            <a:extLst>
              <a:ext uri="{FF2B5EF4-FFF2-40B4-BE49-F238E27FC236}">
                <a16:creationId xmlns:a16="http://schemas.microsoft.com/office/drawing/2014/main" id="{C57DB37C-095D-16C1-FF78-FE3D7837B8E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33751" y="3314254"/>
            <a:ext cx="166591" cy="165652"/>
          </a:xfrm>
          <a:prstGeom prst="rect">
            <a:avLst/>
          </a:prstGeom>
          <a:noFill/>
        </xdr:spPr>
      </xdr:pic>
      <xdr:pic>
        <xdr:nvPicPr>
          <xdr:cNvPr id="154" name="Picture 153">
            <a:extLst>
              <a:ext uri="{FF2B5EF4-FFF2-40B4-BE49-F238E27FC236}">
                <a16:creationId xmlns:a16="http://schemas.microsoft.com/office/drawing/2014/main" id="{88FB418F-D10F-7D90-5AC7-4EE692FCD9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270092" y="3315911"/>
            <a:ext cx="166591" cy="165652"/>
          </a:xfrm>
          <a:prstGeom prst="rect">
            <a:avLst/>
          </a:prstGeom>
          <a:noFill/>
        </xdr:spPr>
      </xdr:pic>
      <xdr:pic>
        <xdr:nvPicPr>
          <xdr:cNvPr id="155" name="Picture 154">
            <a:extLst>
              <a:ext uri="{FF2B5EF4-FFF2-40B4-BE49-F238E27FC236}">
                <a16:creationId xmlns:a16="http://schemas.microsoft.com/office/drawing/2014/main" id="{766CD77F-A11E-7160-A7FB-53233AFAE1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37686" y="3319224"/>
            <a:ext cx="168184" cy="165652"/>
          </a:xfrm>
          <a:prstGeom prst="rect">
            <a:avLst/>
          </a:prstGeom>
          <a:noFill/>
        </xdr:spPr>
      </xdr:pic>
      <xdr:cxnSp macro="">
        <xdr:nvCxnSpPr>
          <xdr:cNvPr id="156" name="Connector: Elbow 155">
            <a:extLst>
              <a:ext uri="{FF2B5EF4-FFF2-40B4-BE49-F238E27FC236}">
                <a16:creationId xmlns:a16="http://schemas.microsoft.com/office/drawing/2014/main" id="{EE52303D-8E86-0692-BDE8-4C89F4870CEA}"/>
              </a:ext>
            </a:extLst>
          </xdr:cNvPr>
          <xdr:cNvCxnSpPr/>
        </xdr:nvCxnSpPr>
        <xdr:spPr>
          <a:xfrm rot="10800000" flipV="1">
            <a:off x="20222311" y="3483920"/>
            <a:ext cx="2216191" cy="919564"/>
          </a:xfrm>
          <a:prstGeom prst="bentConnector3">
            <a:avLst>
              <a:gd name="adj1" fmla="val 739"/>
            </a:avLst>
          </a:prstGeom>
          <a:ln>
            <a:solidFill>
              <a:srgbClr val="3C888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57" name="Picture 156">
            <a:extLst>
              <a:ext uri="{FF2B5EF4-FFF2-40B4-BE49-F238E27FC236}">
                <a16:creationId xmlns:a16="http://schemas.microsoft.com/office/drawing/2014/main" id="{B900E914-6545-CDC4-430E-110C2D4E7F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775617" y="2515280"/>
            <a:ext cx="549106" cy="5495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8" name="Rectangle: Top Corners One Rounded and One Snipped 157">
            <a:extLst>
              <a:ext uri="{FF2B5EF4-FFF2-40B4-BE49-F238E27FC236}">
                <a16:creationId xmlns:a16="http://schemas.microsoft.com/office/drawing/2014/main" id="{280952F2-60C0-23A7-80D7-B808965AE8DD}"/>
              </a:ext>
            </a:extLst>
          </xdr:cNvPr>
          <xdr:cNvSpPr/>
        </xdr:nvSpPr>
        <xdr:spPr>
          <a:xfrm>
            <a:off x="14047282" y="1355168"/>
            <a:ext cx="1341350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9" name="Rectangle: Top Corners One Rounded and One Snipped 158">
            <a:extLst>
              <a:ext uri="{FF2B5EF4-FFF2-40B4-BE49-F238E27FC236}">
                <a16:creationId xmlns:a16="http://schemas.microsoft.com/office/drawing/2014/main" id="{BD9BAD54-A7D6-D7E8-18BF-BDFD54D79F19}"/>
              </a:ext>
            </a:extLst>
          </xdr:cNvPr>
          <xdr:cNvSpPr/>
        </xdr:nvSpPr>
        <xdr:spPr>
          <a:xfrm>
            <a:off x="15402238" y="1357886"/>
            <a:ext cx="1161318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  <xdr:sp macro="" textlink="">
        <xdr:nvSpPr>
          <xdr:cNvPr id="160" name="Rectangle: Top Corners One Rounded and One Snipped 159">
            <a:extLst>
              <a:ext uri="{FF2B5EF4-FFF2-40B4-BE49-F238E27FC236}">
                <a16:creationId xmlns:a16="http://schemas.microsoft.com/office/drawing/2014/main" id="{037DB797-63C8-D2FA-319D-23A53B5F1910}"/>
              </a:ext>
            </a:extLst>
          </xdr:cNvPr>
          <xdr:cNvSpPr/>
        </xdr:nvSpPr>
        <xdr:spPr>
          <a:xfrm>
            <a:off x="17897057" y="1367412"/>
            <a:ext cx="1114738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Perpajakan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1" name="Rectangle: Top Corners One Rounded and One Snipped 160">
            <a:extLst>
              <a:ext uri="{FF2B5EF4-FFF2-40B4-BE49-F238E27FC236}">
                <a16:creationId xmlns:a16="http://schemas.microsoft.com/office/drawing/2014/main" id="{477A16C8-DF45-659A-B70B-A8C83524346B}"/>
              </a:ext>
            </a:extLst>
          </xdr:cNvPr>
          <xdr:cNvSpPr/>
        </xdr:nvSpPr>
        <xdr:spPr>
          <a:xfrm>
            <a:off x="16583966" y="1363329"/>
            <a:ext cx="1292680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Open Item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2" name="Rectangle: Top Corners One Rounded and One Snipped 161">
            <a:extLst>
              <a:ext uri="{FF2B5EF4-FFF2-40B4-BE49-F238E27FC236}">
                <a16:creationId xmlns:a16="http://schemas.microsoft.com/office/drawing/2014/main" id="{817A6AA5-C317-4BEA-D5D8-974D76EDB932}"/>
              </a:ext>
            </a:extLst>
          </xdr:cNvPr>
          <xdr:cNvSpPr/>
        </xdr:nvSpPr>
        <xdr:spPr>
          <a:xfrm>
            <a:off x="19025403" y="1370135"/>
            <a:ext cx="1356004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Bukti Potong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27</xdr:col>
      <xdr:colOff>516133</xdr:colOff>
      <xdr:row>8</xdr:row>
      <xdr:rowOff>5862</xdr:rowOff>
    </xdr:from>
    <xdr:to>
      <xdr:col>31</xdr:col>
      <xdr:colOff>108443</xdr:colOff>
      <xdr:row>10</xdr:row>
      <xdr:rowOff>101112</xdr:rowOff>
    </xdr:to>
    <xdr:sp macro="" textlink="">
      <xdr:nvSpPr>
        <xdr:cNvPr id="167" name="Rectangle: Top Corners One Rounded and One Snipped 166">
          <a:extLst>
            <a:ext uri="{FF2B5EF4-FFF2-40B4-BE49-F238E27FC236}">
              <a16:creationId xmlns:a16="http://schemas.microsoft.com/office/drawing/2014/main" id="{1BF573AD-EB13-480F-9BD1-73091DD8ADC5}"/>
            </a:ext>
            <a:ext uri="{147F2762-F138-4A5C-976F-8EAC2B608ADB}">
              <a16:predDERef xmlns:a16="http://schemas.microsoft.com/office/drawing/2014/main" pred="{F1B97573-D879-4B57-8098-F26AA411FDC1}"/>
            </a:ext>
          </a:extLst>
        </xdr:cNvPr>
        <xdr:cNvSpPr/>
      </xdr:nvSpPr>
      <xdr:spPr>
        <a:xfrm>
          <a:off x="19214441" y="1375997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rPr>
            <a:t>Perpajakan</a:t>
          </a:r>
        </a:p>
      </xdr:txBody>
    </xdr:sp>
    <xdr:clientData/>
  </xdr:twoCellAnchor>
  <xdr:twoCellAnchor>
    <xdr:from>
      <xdr:col>23</xdr:col>
      <xdr:colOff>954284</xdr:colOff>
      <xdr:row>8</xdr:row>
      <xdr:rowOff>4396</xdr:rowOff>
    </xdr:from>
    <xdr:to>
      <xdr:col>27</xdr:col>
      <xdr:colOff>480651</xdr:colOff>
      <xdr:row>10</xdr:row>
      <xdr:rowOff>99646</xdr:rowOff>
    </xdr:to>
    <xdr:sp macro="" textlink="">
      <xdr:nvSpPr>
        <xdr:cNvPr id="168" name="Rectangle: Top Corners One Rounded and One Snipped 167">
          <a:extLst>
            <a:ext uri="{FF2B5EF4-FFF2-40B4-BE49-F238E27FC236}">
              <a16:creationId xmlns:a16="http://schemas.microsoft.com/office/drawing/2014/main" id="{5F65C84B-41F5-4168-8117-A635463E42E8}"/>
            </a:ext>
          </a:extLst>
        </xdr:cNvPr>
        <xdr:cNvSpPr/>
      </xdr:nvSpPr>
      <xdr:spPr>
        <a:xfrm>
          <a:off x="17469169" y="1374531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16</xdr:col>
      <xdr:colOff>600075</xdr:colOff>
      <xdr:row>33</xdr:row>
      <xdr:rowOff>0</xdr:rowOff>
    </xdr:from>
    <xdr:ext cx="1396126" cy="783366"/>
    <xdr:pic>
      <xdr:nvPicPr>
        <xdr:cNvPr id="171" name="Picture 170">
          <a:extLst>
            <a:ext uri="{FF2B5EF4-FFF2-40B4-BE49-F238E27FC236}">
              <a16:creationId xmlns:a16="http://schemas.microsoft.com/office/drawing/2014/main" id="{B7B5A1B3-826D-4155-A195-1D7E86BFF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2402" y="315058"/>
          <a:ext cx="1396126" cy="783366"/>
        </a:xfrm>
        <a:prstGeom prst="rect">
          <a:avLst/>
        </a:prstGeom>
      </xdr:spPr>
    </xdr:pic>
    <xdr:clientData/>
  </xdr:oneCellAnchor>
  <xdr:twoCellAnchor>
    <xdr:from>
      <xdr:col>31</xdr:col>
      <xdr:colOff>129273</xdr:colOff>
      <xdr:row>39</xdr:row>
      <xdr:rowOff>7327</xdr:rowOff>
    </xdr:from>
    <xdr:to>
      <xdr:col>33</xdr:col>
      <xdr:colOff>109909</xdr:colOff>
      <xdr:row>41</xdr:row>
      <xdr:rowOff>102577</xdr:rowOff>
    </xdr:to>
    <xdr:sp macro="" textlink="">
      <xdr:nvSpPr>
        <xdr:cNvPr id="172" name="Rectangle: Top Corners One Rounded and One Snipped 171">
          <a:extLst>
            <a:ext uri="{FF2B5EF4-FFF2-40B4-BE49-F238E27FC236}">
              <a16:creationId xmlns:a16="http://schemas.microsoft.com/office/drawing/2014/main" id="{A97640B6-1AE0-4142-8E3F-50B58C1F7C18}"/>
            </a:ext>
          </a:extLst>
        </xdr:cNvPr>
        <xdr:cNvSpPr/>
      </xdr:nvSpPr>
      <xdr:spPr>
        <a:xfrm>
          <a:off x="20945061" y="1377462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97159</xdr:colOff>
      <xdr:row>38</xdr:row>
      <xdr:rowOff>190188</xdr:rowOff>
    </xdr:from>
    <xdr:to>
      <xdr:col>23</xdr:col>
      <xdr:colOff>930513</xdr:colOff>
      <xdr:row>41</xdr:row>
      <xdr:rowOff>93400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E0BB545A-9F1D-4E98-A49A-31956329B8A4}"/>
            </a:ext>
          </a:extLst>
        </xdr:cNvPr>
        <xdr:cNvGrpSpPr/>
      </xdr:nvGrpSpPr>
      <xdr:grpSpPr>
        <a:xfrm>
          <a:off x="11157365" y="8594600"/>
          <a:ext cx="3388295" cy="474712"/>
          <a:chOff x="14047282" y="1355168"/>
          <a:chExt cx="3394974" cy="486295"/>
        </a:xfrm>
      </xdr:grpSpPr>
      <xdr:sp macro="" textlink="">
        <xdr:nvSpPr>
          <xdr:cNvPr id="182" name="Rectangle: Top Corners One Rounded and One Snipped 181">
            <a:extLst>
              <a:ext uri="{FF2B5EF4-FFF2-40B4-BE49-F238E27FC236}">
                <a16:creationId xmlns:a16="http://schemas.microsoft.com/office/drawing/2014/main" id="{43551BFA-C2E8-AD5C-2A3D-4718C4867EAA}"/>
              </a:ext>
            </a:extLst>
          </xdr:cNvPr>
          <xdr:cNvSpPr/>
        </xdr:nvSpPr>
        <xdr:spPr>
          <a:xfrm>
            <a:off x="14047282" y="1355168"/>
            <a:ext cx="168921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3" name="Rectangle: Top Corners One Rounded and One Snipped 182">
            <a:extLst>
              <a:ext uri="{FF2B5EF4-FFF2-40B4-BE49-F238E27FC236}">
                <a16:creationId xmlns:a16="http://schemas.microsoft.com/office/drawing/2014/main" id="{0A1ED165-D32E-4550-1BB4-ABBFA3957724}"/>
              </a:ext>
            </a:extLst>
          </xdr:cNvPr>
          <xdr:cNvSpPr/>
        </xdr:nvSpPr>
        <xdr:spPr>
          <a:xfrm>
            <a:off x="15753640" y="1365213"/>
            <a:ext cx="1688616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27</xdr:col>
      <xdr:colOff>516133</xdr:colOff>
      <xdr:row>39</xdr:row>
      <xdr:rowOff>5862</xdr:rowOff>
    </xdr:from>
    <xdr:to>
      <xdr:col>31</xdr:col>
      <xdr:colOff>108443</xdr:colOff>
      <xdr:row>41</xdr:row>
      <xdr:rowOff>101112</xdr:rowOff>
    </xdr:to>
    <xdr:sp macro="" textlink="">
      <xdr:nvSpPr>
        <xdr:cNvPr id="186" name="Rectangle: Top Corners One Rounded and One Snipped 185">
          <a:extLst>
            <a:ext uri="{FF2B5EF4-FFF2-40B4-BE49-F238E27FC236}">
              <a16:creationId xmlns:a16="http://schemas.microsoft.com/office/drawing/2014/main" id="{933A625F-4046-41BF-9D39-C79EEF300194}"/>
            </a:ext>
          </a:extLst>
        </xdr:cNvPr>
        <xdr:cNvSpPr/>
      </xdr:nvSpPr>
      <xdr:spPr>
        <a:xfrm>
          <a:off x="19214441" y="1375997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954284</xdr:colOff>
      <xdr:row>39</xdr:row>
      <xdr:rowOff>4396</xdr:rowOff>
    </xdr:from>
    <xdr:to>
      <xdr:col>27</xdr:col>
      <xdr:colOff>480651</xdr:colOff>
      <xdr:row>41</xdr:row>
      <xdr:rowOff>99646</xdr:rowOff>
    </xdr:to>
    <xdr:sp macro="" textlink="">
      <xdr:nvSpPr>
        <xdr:cNvPr id="187" name="Rectangle: Top Corners One Rounded and One Snipped 186">
          <a:extLst>
            <a:ext uri="{FF2B5EF4-FFF2-40B4-BE49-F238E27FC236}">
              <a16:creationId xmlns:a16="http://schemas.microsoft.com/office/drawing/2014/main" id="{DC85E9D6-B019-4F45-8E1B-A7A5D02CAA57}"/>
            </a:ext>
          </a:extLst>
        </xdr:cNvPr>
        <xdr:cNvSpPr/>
      </xdr:nvSpPr>
      <xdr:spPr>
        <a:xfrm>
          <a:off x="17469169" y="1374531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1455796</xdr:colOff>
      <xdr:row>15</xdr:row>
      <xdr:rowOff>48454</xdr:rowOff>
    </xdr:from>
    <xdr:to>
      <xdr:col>21</xdr:col>
      <xdr:colOff>166257</xdr:colOff>
      <xdr:row>16</xdr:row>
      <xdr:rowOff>134116</xdr:rowOff>
    </xdr:to>
    <xdr:sp macro="" textlink="">
      <xdr:nvSpPr>
        <xdr:cNvPr id="190" name="Callout: Down Arrow 189">
          <a:extLst>
            <a:ext uri="{FF2B5EF4-FFF2-40B4-BE49-F238E27FC236}">
              <a16:creationId xmlns:a16="http://schemas.microsoft.com/office/drawing/2014/main" id="{344874F4-AC28-D0A8-F68F-B9D746E87DE6}"/>
            </a:ext>
          </a:extLst>
        </xdr:cNvPr>
        <xdr:cNvSpPr/>
      </xdr:nvSpPr>
      <xdr:spPr>
        <a:xfrm>
          <a:off x="12918926" y="2988780"/>
          <a:ext cx="532635" cy="276162"/>
        </a:xfrm>
        <a:prstGeom prst="downArrowCallout">
          <a:avLst>
            <a:gd name="adj1" fmla="val 0"/>
            <a:gd name="adj2" fmla="val 12180"/>
            <a:gd name="adj3" fmla="val 25000"/>
            <a:gd name="adj4" fmla="val 64977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700"/>
            <a:t>informasi</a:t>
          </a:r>
          <a:endParaRPr lang="id-ID" sz="700"/>
        </a:p>
      </xdr:txBody>
    </xdr:sp>
    <xdr:clientData/>
  </xdr:twoCellAnchor>
  <xdr:twoCellAnchor>
    <xdr:from>
      <xdr:col>16</xdr:col>
      <xdr:colOff>258352</xdr:colOff>
      <xdr:row>42</xdr:row>
      <xdr:rowOff>43650</xdr:rowOff>
    </xdr:from>
    <xdr:to>
      <xdr:col>17</xdr:col>
      <xdr:colOff>2642</xdr:colOff>
      <xdr:row>49</xdr:row>
      <xdr:rowOff>322384</xdr:rowOff>
    </xdr:to>
    <xdr:sp macro="" textlink="">
      <xdr:nvSpPr>
        <xdr:cNvPr id="191" name="Rectangle: Rounded Corners 190">
          <a:extLst>
            <a:ext uri="{FF2B5EF4-FFF2-40B4-BE49-F238E27FC236}">
              <a16:creationId xmlns:a16="http://schemas.microsoft.com/office/drawing/2014/main" id="{552B8428-2CBF-4887-AE26-48FD8069ED0A}"/>
            </a:ext>
          </a:extLst>
        </xdr:cNvPr>
        <xdr:cNvSpPr/>
      </xdr:nvSpPr>
      <xdr:spPr>
        <a:xfrm>
          <a:off x="13600679" y="8132573"/>
          <a:ext cx="352425" cy="1663523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oneCellAnchor>
    <xdr:from>
      <xdr:col>16</xdr:col>
      <xdr:colOff>53423</xdr:colOff>
      <xdr:row>64</xdr:row>
      <xdr:rowOff>57979</xdr:rowOff>
    </xdr:from>
    <xdr:ext cx="1396126" cy="783366"/>
    <xdr:pic>
      <xdr:nvPicPr>
        <xdr:cNvPr id="214" name="Picture 213">
          <a:extLst>
            <a:ext uri="{FF2B5EF4-FFF2-40B4-BE49-F238E27FC236}">
              <a16:creationId xmlns:a16="http://schemas.microsoft.com/office/drawing/2014/main" id="{22DDC086-5EA8-465F-91A5-1F106679B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4358" y="14229522"/>
          <a:ext cx="1396126" cy="783366"/>
        </a:xfrm>
        <a:prstGeom prst="rect">
          <a:avLst/>
        </a:prstGeom>
      </xdr:spPr>
    </xdr:pic>
    <xdr:clientData/>
  </xdr:oneCellAnchor>
  <xdr:twoCellAnchor>
    <xdr:from>
      <xdr:col>31</xdr:col>
      <xdr:colOff>129273</xdr:colOff>
      <xdr:row>69</xdr:row>
      <xdr:rowOff>7327</xdr:rowOff>
    </xdr:from>
    <xdr:to>
      <xdr:col>33</xdr:col>
      <xdr:colOff>109909</xdr:colOff>
      <xdr:row>71</xdr:row>
      <xdr:rowOff>102577</xdr:rowOff>
    </xdr:to>
    <xdr:sp macro="" textlink="">
      <xdr:nvSpPr>
        <xdr:cNvPr id="215" name="Rectangle: Top Corners One Rounded and One Snipped 214">
          <a:extLst>
            <a:ext uri="{FF2B5EF4-FFF2-40B4-BE49-F238E27FC236}">
              <a16:creationId xmlns:a16="http://schemas.microsoft.com/office/drawing/2014/main" id="{4ABD0856-CC20-467C-84E9-40084887D50C}"/>
            </a:ext>
          </a:extLst>
        </xdr:cNvPr>
        <xdr:cNvSpPr/>
      </xdr:nvSpPr>
      <xdr:spPr>
        <a:xfrm>
          <a:off x="20945061" y="7524750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Bukti Potong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97159</xdr:colOff>
      <xdr:row>68</xdr:row>
      <xdr:rowOff>190188</xdr:rowOff>
    </xdr:from>
    <xdr:to>
      <xdr:col>23</xdr:col>
      <xdr:colOff>930513</xdr:colOff>
      <xdr:row>71</xdr:row>
      <xdr:rowOff>93400</xdr:rowOff>
    </xdr:to>
    <xdr:grpSp>
      <xdr:nvGrpSpPr>
        <xdr:cNvPr id="216" name="Group 215">
          <a:extLst>
            <a:ext uri="{FF2B5EF4-FFF2-40B4-BE49-F238E27FC236}">
              <a16:creationId xmlns:a16="http://schemas.microsoft.com/office/drawing/2014/main" id="{0DA54111-A7D9-4F55-AA70-B27A336AFF2F}"/>
            </a:ext>
          </a:extLst>
        </xdr:cNvPr>
        <xdr:cNvGrpSpPr/>
      </xdr:nvGrpSpPr>
      <xdr:grpSpPr>
        <a:xfrm>
          <a:off x="11157365" y="15284512"/>
          <a:ext cx="3388295" cy="609182"/>
          <a:chOff x="14047282" y="1355168"/>
          <a:chExt cx="3394974" cy="486295"/>
        </a:xfrm>
      </xdr:grpSpPr>
      <xdr:sp macro="" textlink="">
        <xdr:nvSpPr>
          <xdr:cNvPr id="217" name="Rectangle: Top Corners One Rounded and One Snipped 216">
            <a:extLst>
              <a:ext uri="{FF2B5EF4-FFF2-40B4-BE49-F238E27FC236}">
                <a16:creationId xmlns:a16="http://schemas.microsoft.com/office/drawing/2014/main" id="{22DFA3A0-C761-41A2-0642-17BEAB18D808}"/>
              </a:ext>
            </a:extLst>
          </xdr:cNvPr>
          <xdr:cNvSpPr/>
        </xdr:nvSpPr>
        <xdr:spPr>
          <a:xfrm>
            <a:off x="14047282" y="1355168"/>
            <a:ext cx="168921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8" name="Rectangle: Top Corners One Rounded and One Snipped 217">
            <a:extLst>
              <a:ext uri="{FF2B5EF4-FFF2-40B4-BE49-F238E27FC236}">
                <a16:creationId xmlns:a16="http://schemas.microsoft.com/office/drawing/2014/main" id="{66C3FCF4-AF82-85B2-0EB5-D60C84CCD538}"/>
              </a:ext>
            </a:extLst>
          </xdr:cNvPr>
          <xdr:cNvSpPr/>
        </xdr:nvSpPr>
        <xdr:spPr>
          <a:xfrm>
            <a:off x="15753640" y="1365213"/>
            <a:ext cx="1688616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</a:p>
        </xdr:txBody>
      </xdr:sp>
    </xdr:grpSp>
    <xdr:clientData/>
  </xdr:twoCellAnchor>
  <xdr:twoCellAnchor>
    <xdr:from>
      <xdr:col>27</xdr:col>
      <xdr:colOff>516133</xdr:colOff>
      <xdr:row>69</xdr:row>
      <xdr:rowOff>5862</xdr:rowOff>
    </xdr:from>
    <xdr:to>
      <xdr:col>31</xdr:col>
      <xdr:colOff>108443</xdr:colOff>
      <xdr:row>71</xdr:row>
      <xdr:rowOff>101112</xdr:rowOff>
    </xdr:to>
    <xdr:sp macro="" textlink="">
      <xdr:nvSpPr>
        <xdr:cNvPr id="219" name="Rectangle: Top Corners One Rounded and One Snipped 218">
          <a:extLst>
            <a:ext uri="{FF2B5EF4-FFF2-40B4-BE49-F238E27FC236}">
              <a16:creationId xmlns:a16="http://schemas.microsoft.com/office/drawing/2014/main" id="{996496E5-7D77-43F3-9A2F-29068E6EA729}"/>
            </a:ext>
          </a:extLst>
        </xdr:cNvPr>
        <xdr:cNvSpPr/>
      </xdr:nvSpPr>
      <xdr:spPr>
        <a:xfrm>
          <a:off x="19214441" y="7523285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954284</xdr:colOff>
      <xdr:row>69</xdr:row>
      <xdr:rowOff>4396</xdr:rowOff>
    </xdr:from>
    <xdr:to>
      <xdr:col>27</xdr:col>
      <xdr:colOff>480651</xdr:colOff>
      <xdr:row>71</xdr:row>
      <xdr:rowOff>99646</xdr:rowOff>
    </xdr:to>
    <xdr:sp macro="" textlink="">
      <xdr:nvSpPr>
        <xdr:cNvPr id="220" name="Rectangle: Top Corners One Rounded and One Snipped 219">
          <a:extLst>
            <a:ext uri="{FF2B5EF4-FFF2-40B4-BE49-F238E27FC236}">
              <a16:creationId xmlns:a16="http://schemas.microsoft.com/office/drawing/2014/main" id="{1D31B38D-2D05-47C8-9D5C-FF704455C145}"/>
            </a:ext>
          </a:extLst>
        </xdr:cNvPr>
        <xdr:cNvSpPr/>
      </xdr:nvSpPr>
      <xdr:spPr>
        <a:xfrm>
          <a:off x="17469169" y="7521819"/>
          <a:ext cx="1709790" cy="476250"/>
        </a:xfrm>
        <a:prstGeom prst="snipRoundRect">
          <a:avLst>
            <a:gd name="adj1" fmla="val 16667"/>
            <a:gd name="adj2" fmla="val 50000"/>
          </a:avLst>
        </a:prstGeom>
        <a:solidFill>
          <a:srgbClr val="9AD2CF"/>
        </a:solidFill>
        <a:ln w="381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Perpajakan</a:t>
          </a:r>
          <a:endParaRPr lang="id-ID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258352</xdr:colOff>
      <xdr:row>72</xdr:row>
      <xdr:rowOff>43650</xdr:rowOff>
    </xdr:from>
    <xdr:to>
      <xdr:col>17</xdr:col>
      <xdr:colOff>2642</xdr:colOff>
      <xdr:row>79</xdr:row>
      <xdr:rowOff>322384</xdr:rowOff>
    </xdr:to>
    <xdr:sp macro="" textlink="">
      <xdr:nvSpPr>
        <xdr:cNvPr id="221" name="Rectangle: Rounded Corners 220">
          <a:extLst>
            <a:ext uri="{FF2B5EF4-FFF2-40B4-BE49-F238E27FC236}">
              <a16:creationId xmlns:a16="http://schemas.microsoft.com/office/drawing/2014/main" id="{9F4D7F91-14A4-4B98-A14F-EB9778491692}"/>
            </a:ext>
          </a:extLst>
        </xdr:cNvPr>
        <xdr:cNvSpPr/>
      </xdr:nvSpPr>
      <xdr:spPr>
        <a:xfrm>
          <a:off x="13600679" y="8132573"/>
          <a:ext cx="352425" cy="169283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ctr"/>
          <a:r>
            <a:rPr lang="en-US" sz="1400" b="1"/>
            <a:t>SEWA</a:t>
          </a:r>
          <a:r>
            <a:rPr lang="en-US" sz="1400" b="1" baseline="0"/>
            <a:t>  </a:t>
          </a:r>
          <a:r>
            <a:rPr lang="en-US" sz="1100" b="1" baseline="0"/>
            <a:t>V</a:t>
          </a:r>
          <a:endParaRPr lang="id-ID" sz="1100" b="1"/>
        </a:p>
      </xdr:txBody>
    </xdr:sp>
    <xdr:clientData/>
  </xdr:twoCellAnchor>
  <xdr:twoCellAnchor>
    <xdr:from>
      <xdr:col>18</xdr:col>
      <xdr:colOff>73270</xdr:colOff>
      <xdr:row>87</xdr:row>
      <xdr:rowOff>36635</xdr:rowOff>
    </xdr:from>
    <xdr:to>
      <xdr:col>18</xdr:col>
      <xdr:colOff>190501</xdr:colOff>
      <xdr:row>87</xdr:row>
      <xdr:rowOff>153866</xdr:rowOff>
    </xdr:to>
    <xdr:sp macro="" textlink="">
      <xdr:nvSpPr>
        <xdr:cNvPr id="222" name="Flowchart: Connector 221">
          <a:extLst>
            <a:ext uri="{FF2B5EF4-FFF2-40B4-BE49-F238E27FC236}">
              <a16:creationId xmlns:a16="http://schemas.microsoft.com/office/drawing/2014/main" id="{515B5ED3-52A7-4F35-B6C9-E5FCDB8B1EE8}"/>
            </a:ext>
          </a:extLst>
        </xdr:cNvPr>
        <xdr:cNvSpPr/>
      </xdr:nvSpPr>
      <xdr:spPr>
        <a:xfrm>
          <a:off x="14177597" y="1534990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73269</xdr:colOff>
      <xdr:row>86</xdr:row>
      <xdr:rowOff>65941</xdr:rowOff>
    </xdr:from>
    <xdr:to>
      <xdr:col>18</xdr:col>
      <xdr:colOff>190500</xdr:colOff>
      <xdr:row>86</xdr:row>
      <xdr:rowOff>183172</xdr:rowOff>
    </xdr:to>
    <xdr:sp macro="" textlink="">
      <xdr:nvSpPr>
        <xdr:cNvPr id="223" name="Flowchart: Connector 222">
          <a:extLst>
            <a:ext uri="{FF2B5EF4-FFF2-40B4-BE49-F238E27FC236}">
              <a16:creationId xmlns:a16="http://schemas.microsoft.com/office/drawing/2014/main" id="{1A90D43D-541C-4215-BE90-2BCB7689DF3F}"/>
            </a:ext>
          </a:extLst>
        </xdr:cNvPr>
        <xdr:cNvSpPr/>
      </xdr:nvSpPr>
      <xdr:spPr>
        <a:xfrm>
          <a:off x="14177596" y="151154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73270</xdr:colOff>
      <xdr:row>89</xdr:row>
      <xdr:rowOff>43960</xdr:rowOff>
    </xdr:from>
    <xdr:to>
      <xdr:col>18</xdr:col>
      <xdr:colOff>190501</xdr:colOff>
      <xdr:row>89</xdr:row>
      <xdr:rowOff>161191</xdr:rowOff>
    </xdr:to>
    <xdr:sp macro="" textlink="">
      <xdr:nvSpPr>
        <xdr:cNvPr id="224" name="Flowchart: Connector 223">
          <a:extLst>
            <a:ext uri="{FF2B5EF4-FFF2-40B4-BE49-F238E27FC236}">
              <a16:creationId xmlns:a16="http://schemas.microsoft.com/office/drawing/2014/main" id="{0BAE459D-B5B2-4BAB-8342-47A0AD9BC01E}"/>
            </a:ext>
          </a:extLst>
        </xdr:cNvPr>
        <xdr:cNvSpPr/>
      </xdr:nvSpPr>
      <xdr:spPr>
        <a:xfrm>
          <a:off x="14177597" y="1579684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73270</xdr:colOff>
      <xdr:row>90</xdr:row>
      <xdr:rowOff>51287</xdr:rowOff>
    </xdr:from>
    <xdr:to>
      <xdr:col>18</xdr:col>
      <xdr:colOff>190501</xdr:colOff>
      <xdr:row>90</xdr:row>
      <xdr:rowOff>168518</xdr:rowOff>
    </xdr:to>
    <xdr:sp macro="" textlink="">
      <xdr:nvSpPr>
        <xdr:cNvPr id="225" name="Flowchart: Connector 224">
          <a:extLst>
            <a:ext uri="{FF2B5EF4-FFF2-40B4-BE49-F238E27FC236}">
              <a16:creationId xmlns:a16="http://schemas.microsoft.com/office/drawing/2014/main" id="{DA508C47-3827-4667-B382-67E60ED19D03}"/>
            </a:ext>
          </a:extLst>
        </xdr:cNvPr>
        <xdr:cNvSpPr/>
      </xdr:nvSpPr>
      <xdr:spPr>
        <a:xfrm>
          <a:off x="14177597" y="15994672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73270</xdr:colOff>
      <xdr:row>81</xdr:row>
      <xdr:rowOff>36635</xdr:rowOff>
    </xdr:from>
    <xdr:to>
      <xdr:col>18</xdr:col>
      <xdr:colOff>190501</xdr:colOff>
      <xdr:row>81</xdr:row>
      <xdr:rowOff>153866</xdr:rowOff>
    </xdr:to>
    <xdr:sp macro="" textlink="">
      <xdr:nvSpPr>
        <xdr:cNvPr id="226" name="Flowchart: Connector 225">
          <a:extLst>
            <a:ext uri="{FF2B5EF4-FFF2-40B4-BE49-F238E27FC236}">
              <a16:creationId xmlns:a16="http://schemas.microsoft.com/office/drawing/2014/main" id="{2F2BCA42-62C6-4053-B779-38D8C9206311}"/>
            </a:ext>
          </a:extLst>
        </xdr:cNvPr>
        <xdr:cNvSpPr/>
      </xdr:nvSpPr>
      <xdr:spPr>
        <a:xfrm>
          <a:off x="14177597" y="16705385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73269</xdr:colOff>
      <xdr:row>80</xdr:row>
      <xdr:rowOff>65941</xdr:rowOff>
    </xdr:from>
    <xdr:to>
      <xdr:col>18</xdr:col>
      <xdr:colOff>190500</xdr:colOff>
      <xdr:row>80</xdr:row>
      <xdr:rowOff>183172</xdr:rowOff>
    </xdr:to>
    <xdr:sp macro="" textlink="">
      <xdr:nvSpPr>
        <xdr:cNvPr id="227" name="Flowchart: Connector 226">
          <a:extLst>
            <a:ext uri="{FF2B5EF4-FFF2-40B4-BE49-F238E27FC236}">
              <a16:creationId xmlns:a16="http://schemas.microsoft.com/office/drawing/2014/main" id="{6B8D60B1-8F7E-4FE9-A41F-3ABD4434553D}"/>
            </a:ext>
          </a:extLst>
        </xdr:cNvPr>
        <xdr:cNvSpPr/>
      </xdr:nvSpPr>
      <xdr:spPr>
        <a:xfrm>
          <a:off x="14177596" y="15818826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0</xdr:col>
      <xdr:colOff>600075</xdr:colOff>
      <xdr:row>33</xdr:row>
      <xdr:rowOff>29307</xdr:rowOff>
    </xdr:from>
    <xdr:ext cx="1396126" cy="783366"/>
    <xdr:pic>
      <xdr:nvPicPr>
        <xdr:cNvPr id="228" name="Picture 227">
          <a:extLst>
            <a:ext uri="{FF2B5EF4-FFF2-40B4-BE49-F238E27FC236}">
              <a16:creationId xmlns:a16="http://schemas.microsoft.com/office/drawing/2014/main" id="{3EF20F8E-546E-4756-935A-4532B3E24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44365"/>
          <a:ext cx="1396126" cy="783366"/>
        </a:xfrm>
        <a:prstGeom prst="rect">
          <a:avLst/>
        </a:prstGeom>
      </xdr:spPr>
    </xdr:pic>
    <xdr:clientData/>
  </xdr:oneCellAnchor>
  <xdr:twoCellAnchor>
    <xdr:from>
      <xdr:col>6</xdr:col>
      <xdr:colOff>61232</xdr:colOff>
      <xdr:row>42</xdr:row>
      <xdr:rowOff>156482</xdr:rowOff>
    </xdr:from>
    <xdr:to>
      <xdr:col>6</xdr:col>
      <xdr:colOff>74840</xdr:colOff>
      <xdr:row>56</xdr:row>
      <xdr:rowOff>68035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A7A002DA-78E9-40FE-8483-05F7340877B5}"/>
            </a:ext>
          </a:extLst>
        </xdr:cNvPr>
        <xdr:cNvCxnSpPr/>
      </xdr:nvCxnSpPr>
      <xdr:spPr>
        <a:xfrm>
          <a:off x="4530655" y="2098117"/>
          <a:ext cx="13608" cy="2952226"/>
        </a:xfrm>
        <a:prstGeom prst="line">
          <a:avLst/>
        </a:prstGeom>
        <a:ln w="28575">
          <a:solidFill>
            <a:srgbClr val="306E6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3664</xdr:colOff>
      <xdr:row>39</xdr:row>
      <xdr:rowOff>36634</xdr:rowOff>
    </xdr:from>
    <xdr:to>
      <xdr:col>10</xdr:col>
      <xdr:colOff>712910</xdr:colOff>
      <xdr:row>41</xdr:row>
      <xdr:rowOff>144130</xdr:rowOff>
    </xdr:to>
    <xdr:grpSp>
      <xdr:nvGrpSpPr>
        <xdr:cNvPr id="230" name="Group 229">
          <a:extLst>
            <a:ext uri="{FF2B5EF4-FFF2-40B4-BE49-F238E27FC236}">
              <a16:creationId xmlns:a16="http://schemas.microsoft.com/office/drawing/2014/main" id="{9460D471-1394-40F8-89F2-E684A3B08088}"/>
            </a:ext>
          </a:extLst>
        </xdr:cNvPr>
        <xdr:cNvGrpSpPr/>
      </xdr:nvGrpSpPr>
      <xdr:grpSpPr>
        <a:xfrm>
          <a:off x="272605" y="8631546"/>
          <a:ext cx="8889540" cy="488496"/>
          <a:chOff x="600808" y="1406769"/>
          <a:chExt cx="10091872" cy="488496"/>
        </a:xfrm>
      </xdr:grpSpPr>
      <xdr:sp macro="" textlink="">
        <xdr:nvSpPr>
          <xdr:cNvPr id="231" name="Rectangle: Top Corners One Rounded and One Snipped 230">
            <a:extLst>
              <a:ext uri="{FF2B5EF4-FFF2-40B4-BE49-F238E27FC236}">
                <a16:creationId xmlns:a16="http://schemas.microsoft.com/office/drawing/2014/main" id="{2A809270-5644-AEE8-6420-493F3E1AF694}"/>
              </a:ext>
            </a:extLst>
          </xdr:cNvPr>
          <xdr:cNvSpPr/>
        </xdr:nvSpPr>
        <xdr:spPr>
          <a:xfrm>
            <a:off x="600808" y="1406769"/>
            <a:ext cx="202828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chemeClr val="bg2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Informasi</a:t>
            </a:r>
            <a:endParaRPr lang="id-ID" sz="11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232" name="Rectangle: Top Corners One Rounded and One Snipped 231">
            <a:extLst>
              <a:ext uri="{FF2B5EF4-FFF2-40B4-BE49-F238E27FC236}">
                <a16:creationId xmlns:a16="http://schemas.microsoft.com/office/drawing/2014/main" id="{09E814A9-6FA7-CCDE-C429-8E9000D9B1D0}"/>
              </a:ext>
            </a:extLst>
          </xdr:cNvPr>
          <xdr:cNvSpPr/>
        </xdr:nvSpPr>
        <xdr:spPr>
          <a:xfrm>
            <a:off x="2650612" y="1416294"/>
            <a:ext cx="2006757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Petunjuk Pembayaran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3" name="Rectangle: Top Corners One Rounded and One Snipped 232">
            <a:extLst>
              <a:ext uri="{FF2B5EF4-FFF2-40B4-BE49-F238E27FC236}">
                <a16:creationId xmlns:a16="http://schemas.microsoft.com/office/drawing/2014/main" id="{85869C45-B1CF-161D-DCF3-0AE997DEEA5F}"/>
              </a:ext>
            </a:extLst>
          </xdr:cNvPr>
          <xdr:cNvSpPr/>
        </xdr:nvSpPr>
        <xdr:spPr>
          <a:xfrm>
            <a:off x="4686111" y="1419015"/>
            <a:ext cx="2016099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Perpajakan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4" name="Rectangle: Top Corners One Rounded and One Snipped 233">
            <a:extLst>
              <a:ext uri="{FF2B5EF4-FFF2-40B4-BE49-F238E27FC236}">
                <a16:creationId xmlns:a16="http://schemas.microsoft.com/office/drawing/2014/main" id="{F4BD166D-3888-2B69-5B1D-7B3E2939DE94}"/>
              </a:ext>
            </a:extLst>
          </xdr:cNvPr>
          <xdr:cNvSpPr/>
        </xdr:nvSpPr>
        <xdr:spPr>
          <a:xfrm>
            <a:off x="6723735" y="1411165"/>
            <a:ext cx="197364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Open Item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5" name="Rectangle: Top Corners One Rounded and One Snipped 234">
            <a:extLst>
              <a:ext uri="{FF2B5EF4-FFF2-40B4-BE49-F238E27FC236}">
                <a16:creationId xmlns:a16="http://schemas.microsoft.com/office/drawing/2014/main" id="{D948245F-6502-97BA-FE31-6B4B5C7C1FB6}"/>
              </a:ext>
            </a:extLst>
          </xdr:cNvPr>
          <xdr:cNvSpPr/>
        </xdr:nvSpPr>
        <xdr:spPr>
          <a:xfrm>
            <a:off x="8719039" y="1414096"/>
            <a:ext cx="1973641" cy="476250"/>
          </a:xfrm>
          <a:prstGeom prst="snipRoundRect">
            <a:avLst>
              <a:gd name="adj1" fmla="val 16667"/>
              <a:gd name="adj2" fmla="val 50000"/>
            </a:avLst>
          </a:prstGeom>
          <a:solidFill>
            <a:srgbClr val="9AD2CF"/>
          </a:solidFill>
          <a:ln w="3810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rPr>
              <a:t>Bukti Potong</a:t>
            </a:r>
            <a:endParaRPr lang="id-ID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3</xdr:col>
      <xdr:colOff>443849</xdr:colOff>
      <xdr:row>0</xdr:row>
      <xdr:rowOff>0</xdr:rowOff>
    </xdr:from>
    <xdr:to>
      <xdr:col>15</xdr:col>
      <xdr:colOff>581019</xdr:colOff>
      <xdr:row>27</xdr:row>
      <xdr:rowOff>183459</xdr:rowOff>
    </xdr:to>
    <xdr:pic>
      <xdr:nvPicPr>
        <xdr:cNvPr id="246" name="Picture 245" descr="Arsitektur BSI Tower: Menara Ikonik Bank Syariah di Jantung Jakarta">
          <a:extLst>
            <a:ext uri="{FF2B5EF4-FFF2-40B4-BE49-F238E27FC236}">
              <a16:creationId xmlns:a16="http://schemas.microsoft.com/office/drawing/2014/main" id="{422FB5B9-9B2E-F47A-4217-1EFD696101C4}"/>
            </a:ext>
            <a:ext uri="{147F2762-F138-4A5C-976F-8EAC2B608ADB}">
              <a16:predDERef xmlns:a16="http://schemas.microsoft.com/office/drawing/2014/main" pred="{9460D471-1394-40F8-89F2-E684A3B0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2296" b="98996" l="2959" r="90000">
                      <a14:foregroundMark x1="44992" y1="26973" x2="47245" y2="62697"/>
                      <a14:foregroundMark x1="47245" y1="62697" x2="52143" y2="36872"/>
                      <a14:foregroundMark x1="45114" y1="98011" x2="46122" y2="98996"/>
                      <a14:foregroundMark x1="4592" y1="58393" x2="41435" y2="94414"/>
                      <a14:foregroundMark x1="46122" y1="98996" x2="46122" y2="98996"/>
                      <a14:foregroundMark x1="2449" y1="58393" x2="6429" y2="65280"/>
                      <a14:foregroundMark x1="6429" y1="65280" x2="22347" y2="80057"/>
                      <a14:foregroundMark x1="3980" y1="49641" x2="10523" y2="55989"/>
                      <a14:foregroundMark x1="32878" y1="66177" x2="32959" y2="68149"/>
                      <a14:foregroundMark x1="32546" y1="58117" x2="32568" y2="58657"/>
                      <a14:foregroundMark x1="32959" y1="68149" x2="32959" y2="68293"/>
                      <a14:foregroundMark x1="31833" y1="67140" x2="32143" y2="69010"/>
                      <a14:foregroundMark x1="31509" y1="65186" x2="31746" y2="66616"/>
                      <a14:foregroundMark x1="2959" y1="62554" x2="41735" y2="98709"/>
                      <a14:foregroundMark x1="41122" y1="37159" x2="40408" y2="46341"/>
                      <a14:foregroundMark x1="40408" y1="46341" x2="40816" y2="50072"/>
                      <a14:backgroundMark x1="17245" y1="47776" x2="21939" y2="42755"/>
                      <a14:backgroundMark x1="21939" y1="42755" x2="14082" y2="45050"/>
                      <a14:backgroundMark x1="14082" y1="45050" x2="27347" y2="48780"/>
                      <a14:backgroundMark x1="27347" y1="48780" x2="24490" y2="33859"/>
                      <a14:backgroundMark x1="24490" y1="33859" x2="30816" y2="36011"/>
                      <a14:backgroundMark x1="31516" y1="41421" x2="31889" y2="44305"/>
                      <a14:backgroundMark x1="31017" y1="37564" x2="31374" y2="40323"/>
                      <a14:backgroundMark x1="30816" y1="36011" x2="31003" y2="37453"/>
                      <a14:backgroundMark x1="30714" y1="56098" x2="25102" y2="54089"/>
                      <a14:backgroundMark x1="25102" y1="54089" x2="22755" y2="46341"/>
                      <a14:backgroundMark x1="22755" y1="46341" x2="18061" y2="50789"/>
                      <a14:backgroundMark x1="18061" y1="50789" x2="12755" y2="45337"/>
                      <a14:backgroundMark x1="12755" y1="45337" x2="12397" y2="54900"/>
                      <a14:backgroundMark x1="16084" y1="58476" x2="26837" y2="57102"/>
                      <a14:backgroundMark x1="26837" y1="57102" x2="26122" y2="45337"/>
                      <a14:backgroundMark x1="26122" y1="45337" x2="18163" y2="38307"/>
                      <a14:backgroundMark x1="18163" y1="38307" x2="22857" y2="33142"/>
                      <a14:backgroundMark x1="22857" y1="33142" x2="30408" y2="36155"/>
                      <a14:backgroundMark x1="31099" y1="41658" x2="31460" y2="44533"/>
                      <a14:backgroundMark x1="30408" y1="36155" x2="30961" y2="40558"/>
                      <a14:backgroundMark x1="30890" y1="60098" x2="30816" y2="60402"/>
                      <a14:backgroundMark x1="30816" y1="60402" x2="24388" y2="62267"/>
                      <a14:backgroundMark x1="24388" y1="62267" x2="18061" y2="55380"/>
                      <a14:backgroundMark x1="23776" y1="50789" x2="25000" y2="48924"/>
                      <a14:backgroundMark x1="11327" y1="41033" x2="19286" y2="40459"/>
                      <a14:backgroundMark x1="19286" y1="40459" x2="28878" y2="30273"/>
                      <a14:backgroundMark x1="31244" y1="37814" x2="31939" y2="40029"/>
                      <a14:backgroundMark x1="28878" y1="30273" x2="31136" y2="37470"/>
                      <a14:backgroundMark x1="31645" y1="50279" x2="31629" y2="50839"/>
                      <a14:backgroundMark x1="30816" y1="58320" x2="25816" y2="62410"/>
                      <a14:backgroundMark x1="25816" y1="62410" x2="15586" y2="57993"/>
                      <a14:backgroundMark x1="12669" y1="55163" x2="11531" y2="45194"/>
                      <a14:backgroundMark x1="11531" y1="45194" x2="12857" y2="40172"/>
                      <a14:backgroundMark x1="10408" y1="51937" x2="10408" y2="51937"/>
                      <a14:backgroundMark x1="15102" y1="57389" x2="10612" y2="54806"/>
                      <a14:backgroundMark x1="11020" y1="55237" x2="23878" y2="64993"/>
                      <a14:backgroundMark x1="23878" y1="64993" x2="24286" y2="64849"/>
                      <a14:backgroundMark x1="25102" y1="64275" x2="31079" y2="64690"/>
                      <a14:backgroundMark x1="32261" y1="39818" x2="32245" y2="39455"/>
                      <a14:backgroundMark x1="33673" y1="37159" x2="33663" y2="35905"/>
                      <a14:backgroundMark x1="15408" y1="86083" x2="38061" y2="98996"/>
                      <a14:backgroundMark x1="42427" y1="97750" x2="44388" y2="99139"/>
                      <a14:backgroundMark x1="42857" y1="10904" x2="40714" y2="18651"/>
                      <a14:backgroundMark x1="41020" y1="14204" x2="47857" y2="17217"/>
                      <a14:backgroundMark x1="47857" y1="17217" x2="44388" y2="16930"/>
                      <a14:backgroundMark x1="39388" y1="6743" x2="35918" y2="16212"/>
                      <a14:backgroundMark x1="35918" y1="16212" x2="39898" y2="6313"/>
                      <a14:backgroundMark x1="39898" y1="6313" x2="46939" y2="2869"/>
                      <a14:backgroundMark x1="46939" y1="2869" x2="47959" y2="12482"/>
                      <a14:backgroundMark x1="47959" y1="12482" x2="43469" y2="19799"/>
                      <a14:backgroundMark x1="43469" y1="19799" x2="41327" y2="19656"/>
                      <a14:backgroundMark x1="43776" y1="2582" x2="38163" y2="3730"/>
                      <a14:backgroundMark x1="38163" y1="3730" x2="37959" y2="3874"/>
                      <a14:backgroundMark x1="38776" y1="3874" x2="38878" y2="4017"/>
                      <a14:backgroundMark x1="38980" y1="5022" x2="38980" y2="5022"/>
                      <a14:backgroundMark x1="40204" y1="4735" x2="38776" y2="7604"/>
                      <a14:backgroundMark x1="47959" y1="23529" x2="34286" y2="25825"/>
                      <a14:backgroundMark x1="45102" y1="26973" x2="45102" y2="26973"/>
                      <a14:backgroundMark x1="44592" y1="27260" x2="44592" y2="27260"/>
                      <a14:backgroundMark x1="44490" y1="21521" x2="44490" y2="21521"/>
                      <a14:backgroundMark x1="44898" y1="26399" x2="44898" y2="26399"/>
                      <a14:backgroundMark x1="44388" y1="20660" x2="44694" y2="22669"/>
                      <a14:backgroundMark x1="44796" y1="26112" x2="44898" y2="26829"/>
                      <a14:backgroundMark x1="36020" y1="32138" x2="33163" y2="58250"/>
                      <a14:backgroundMark x1="33163" y1="58250" x2="32959" y2="58680"/>
                      <a14:backgroundMark x1="31837" y1="66284" x2="35408" y2="58106"/>
                      <a14:backgroundMark x1="35408" y1="58106" x2="37245" y2="34720"/>
                      <a14:backgroundMark x1="33367" y1="37446" x2="31837" y2="47202"/>
                      <a14:backgroundMark x1="31837" y1="47202" x2="33878" y2="38594"/>
                      <a14:backgroundMark x1="35918" y1="46772" x2="34898" y2="57819"/>
                      <a14:backgroundMark x1="34898" y1="57819" x2="31837" y2="65423"/>
                      <a14:backgroundMark x1="31837" y1="65423" x2="32041" y2="61980"/>
                      <a14:backgroundMark x1="33776" y1="64419" x2="37143" y2="55093"/>
                      <a14:backgroundMark x1="37143" y1="55093" x2="37551" y2="35581"/>
                      <a14:backgroundMark x1="37356" y1="60285" x2="37347" y2="61406"/>
                      <a14:backgroundMark x1="37551" y1="35581" x2="37358" y2="59987"/>
                      <a14:backgroundMark x1="38367" y1="33286" x2="38163" y2="38307"/>
                      <a14:backgroundMark x1="38878" y1="37590" x2="38163" y2="60689"/>
                      <a14:backgroundMark x1="50510" y1="6743" x2="52449" y2="2195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740" y="0"/>
          <a:ext cx="8933301" cy="635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165651</xdr:colOff>
      <xdr:row>3</xdr:row>
      <xdr:rowOff>10719</xdr:rowOff>
    </xdr:from>
    <xdr:to>
      <xdr:col>5</xdr:col>
      <xdr:colOff>546651</xdr:colOff>
      <xdr:row>30</xdr:row>
      <xdr:rowOff>122778</xdr:rowOff>
    </xdr:to>
    <xdr:sp macro="" textlink="">
      <xdr:nvSpPr>
        <xdr:cNvPr id="244" name="Rectangle: Rounded Corners 243">
          <a:extLst>
            <a:ext uri="{FF2B5EF4-FFF2-40B4-BE49-F238E27FC236}">
              <a16:creationId xmlns:a16="http://schemas.microsoft.com/office/drawing/2014/main" id="{AAD3667C-1D71-E568-B607-7E9C90A5F5A9}"/>
            </a:ext>
            <a:ext uri="{147F2762-F138-4A5C-976F-8EAC2B608ADB}">
              <a16:predDERef xmlns:a16="http://schemas.microsoft.com/office/drawing/2014/main" pred="{422FB5B9-9B2E-F47A-4217-1EFD696101C4}"/>
            </a:ext>
          </a:extLst>
        </xdr:cNvPr>
        <xdr:cNvSpPr/>
      </xdr:nvSpPr>
      <xdr:spPr>
        <a:xfrm>
          <a:off x="1217542" y="706458"/>
          <a:ext cx="2675283" cy="5379798"/>
        </a:xfrm>
        <a:prstGeom prst="roundRect">
          <a:avLst>
            <a:gd name="adj" fmla="val 9678"/>
          </a:avLst>
        </a:prstGeom>
        <a:solidFill>
          <a:schemeClr val="bg1"/>
        </a:solidFill>
        <a:ln>
          <a:solidFill>
            <a:srgbClr val="41959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ctr"/>
          <a:endParaRPr lang="en-US" sz="1600" b="1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ctr"/>
          <a:endParaRPr lang="en-US" sz="1600" b="1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ctr"/>
          <a:r>
            <a:rPr lang="en-US" sz="1600" b="1">
              <a:solidFill>
                <a:schemeClr val="tx1">
                  <a:lumMod val="65000"/>
                  <a:lumOff val="35000"/>
                </a:schemeClr>
              </a:solidFill>
            </a:rPr>
            <a:t>Log</a:t>
          </a: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in</a:t>
          </a:r>
        </a:p>
        <a:p>
          <a:pPr algn="l"/>
          <a:endParaRPr lang="en-US" sz="1100" baseline="0">
            <a:solidFill>
              <a:srgbClr val="306E6B"/>
            </a:solidFill>
          </a:endParaRPr>
        </a:p>
        <a:p>
          <a:pPr algn="l"/>
          <a:r>
            <a:rPr lang="en-US" sz="1100">
              <a:solidFill>
                <a:srgbClr val="306E6B"/>
              </a:solidFill>
            </a:rPr>
            <a:t>    </a:t>
          </a:r>
          <a:r>
            <a:rPr lang="en-US" sz="1050">
              <a:solidFill>
                <a:srgbClr val="306E6B"/>
              </a:solidFill>
            </a:rPr>
            <a:t>User LDAP</a:t>
          </a:r>
        </a:p>
        <a:p>
          <a:pPr algn="l"/>
          <a:endParaRPr lang="en-US" sz="1050">
            <a:solidFill>
              <a:srgbClr val="306E6B"/>
            </a:solidFill>
          </a:endParaRPr>
        </a:p>
        <a:p>
          <a:pPr algn="l"/>
          <a:endParaRPr lang="en-US" sz="1050">
            <a:solidFill>
              <a:srgbClr val="306E6B"/>
            </a:solidFill>
          </a:endParaRPr>
        </a:p>
        <a:p>
          <a:pPr algn="l"/>
          <a:endParaRPr lang="en-US" sz="1050">
            <a:solidFill>
              <a:srgbClr val="306E6B"/>
            </a:solidFill>
          </a:endParaRPr>
        </a:p>
        <a:p>
          <a:pPr algn="l"/>
          <a:r>
            <a:rPr lang="en-US" sz="1100">
              <a:solidFill>
                <a:srgbClr val="419591"/>
              </a:solidFill>
              <a:effectLst/>
              <a:latin typeface="+mn-lt"/>
              <a:ea typeface="+mn-ea"/>
              <a:cs typeface="+mn-cs"/>
            </a:rPr>
            <a:t>    Password LDAP</a:t>
          </a:r>
          <a:endParaRPr lang="en-US" sz="1050">
            <a:solidFill>
              <a:srgbClr val="419591"/>
            </a:solidFill>
          </a:endParaRPr>
        </a:p>
      </xdr:txBody>
    </xdr:sp>
    <xdr:clientData/>
  </xdr:twoCellAnchor>
  <xdr:oneCellAnchor>
    <xdr:from>
      <xdr:col>9</xdr:col>
      <xdr:colOff>890849</xdr:colOff>
      <xdr:row>17</xdr:row>
      <xdr:rowOff>21641</xdr:rowOff>
    </xdr:from>
    <xdr:ext cx="233503" cy="275667"/>
    <xdr:pic>
      <xdr:nvPicPr>
        <xdr:cNvPr id="6" name="Picture 5">
          <a:extLst>
            <a:ext uri="{FF2B5EF4-FFF2-40B4-BE49-F238E27FC236}">
              <a16:creationId xmlns:a16="http://schemas.microsoft.com/office/drawing/2014/main" id="{2388A282-CA26-44CC-A2F1-0A46BC666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88" t="1411" r="54960" b="-1411"/>
        <a:stretch/>
      </xdr:blipFill>
      <xdr:spPr>
        <a:xfrm rot="909634">
          <a:off x="7351284" y="3251858"/>
          <a:ext cx="233503" cy="275667"/>
        </a:xfrm>
        <a:prstGeom prst="rect">
          <a:avLst/>
        </a:prstGeom>
      </xdr:spPr>
    </xdr:pic>
    <xdr:clientData/>
  </xdr:oneCellAnchor>
  <xdr:oneCellAnchor>
    <xdr:from>
      <xdr:col>4</xdr:col>
      <xdr:colOff>255615</xdr:colOff>
      <xdr:row>4</xdr:row>
      <xdr:rowOff>53280</xdr:rowOff>
    </xdr:from>
    <xdr:ext cx="1396126" cy="783366"/>
    <xdr:pic>
      <xdr:nvPicPr>
        <xdr:cNvPr id="247" name="Picture 246">
          <a:extLst>
            <a:ext uri="{FF2B5EF4-FFF2-40B4-BE49-F238E27FC236}">
              <a16:creationId xmlns:a16="http://schemas.microsoft.com/office/drawing/2014/main" id="{3F29432B-C104-457F-88F0-04C514761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593" y="939519"/>
          <a:ext cx="1396126" cy="783366"/>
        </a:xfrm>
        <a:prstGeom prst="rect">
          <a:avLst/>
        </a:prstGeom>
      </xdr:spPr>
    </xdr:pic>
    <xdr:clientData/>
  </xdr:oneCellAnchor>
  <xdr:twoCellAnchor>
    <xdr:from>
      <xdr:col>3</xdr:col>
      <xdr:colOff>428261</xdr:colOff>
      <xdr:row>13</xdr:row>
      <xdr:rowOff>31667</xdr:rowOff>
    </xdr:from>
    <xdr:to>
      <xdr:col>5</xdr:col>
      <xdr:colOff>304021</xdr:colOff>
      <xdr:row>14</xdr:row>
      <xdr:rowOff>114300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94447C73-D925-80C4-65C5-1E525B1A3152}"/>
            </a:ext>
            <a:ext uri="{147F2762-F138-4A5C-976F-8EAC2B608ADB}">
              <a16:predDERef xmlns:a16="http://schemas.microsoft.com/office/drawing/2014/main" pred="{3F29432B-C104-457F-88F0-04C514761B50}"/>
            </a:ext>
          </a:extLst>
        </xdr:cNvPr>
        <xdr:cNvSpPr/>
      </xdr:nvSpPr>
      <xdr:spPr>
        <a:xfrm>
          <a:off x="1476011" y="2584367"/>
          <a:ext cx="2171285" cy="273133"/>
        </a:xfrm>
        <a:prstGeom prst="rect">
          <a:avLst/>
        </a:prstGeom>
        <a:solidFill>
          <a:srgbClr val="C5E5E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442389</xdr:colOff>
      <xdr:row>16</xdr:row>
      <xdr:rowOff>138294</xdr:rowOff>
    </xdr:from>
    <xdr:to>
      <xdr:col>5</xdr:col>
      <xdr:colOff>318149</xdr:colOff>
      <xdr:row>18</xdr:row>
      <xdr:rowOff>9525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4B29BC2F-2585-48DD-954F-9CC25408946D}"/>
            </a:ext>
          </a:extLst>
        </xdr:cNvPr>
        <xdr:cNvSpPr/>
      </xdr:nvSpPr>
      <xdr:spPr>
        <a:xfrm>
          <a:off x="1490139" y="3262494"/>
          <a:ext cx="2171285" cy="290331"/>
        </a:xfrm>
        <a:prstGeom prst="rect">
          <a:avLst/>
        </a:prstGeom>
        <a:solidFill>
          <a:srgbClr val="C5E5E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231914</xdr:colOff>
      <xdr:row>20</xdr:row>
      <xdr:rowOff>99390</xdr:rowOff>
    </xdr:from>
    <xdr:to>
      <xdr:col>4</xdr:col>
      <xdr:colOff>1581979</xdr:colOff>
      <xdr:row>21</xdr:row>
      <xdr:rowOff>207064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C8F876D3-E466-C6C7-6677-ABBE27E6B78D}"/>
            </a:ext>
          </a:extLst>
        </xdr:cNvPr>
        <xdr:cNvSpPr/>
      </xdr:nvSpPr>
      <xdr:spPr>
        <a:xfrm>
          <a:off x="1813892" y="4149586"/>
          <a:ext cx="1350065" cy="298174"/>
        </a:xfrm>
        <a:prstGeom prst="rect">
          <a:avLst/>
        </a:prstGeom>
        <a:solidFill>
          <a:srgbClr val="FDB34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Selanjutnya</a:t>
          </a:r>
          <a:endParaRPr lang="id-ID" sz="1100" b="1"/>
        </a:p>
      </xdr:txBody>
    </xdr:sp>
    <xdr:clientData/>
  </xdr:twoCellAnchor>
  <xdr:twoCellAnchor>
    <xdr:from>
      <xdr:col>18</xdr:col>
      <xdr:colOff>65943</xdr:colOff>
      <xdr:row>45</xdr:row>
      <xdr:rowOff>36634</xdr:rowOff>
    </xdr:from>
    <xdr:to>
      <xdr:col>18</xdr:col>
      <xdr:colOff>183174</xdr:colOff>
      <xdr:row>45</xdr:row>
      <xdr:rowOff>153865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027117A1-EF24-4F02-9D7E-49BADED3A235}"/>
            </a:ext>
          </a:extLst>
        </xdr:cNvPr>
        <xdr:cNvSpPr/>
      </xdr:nvSpPr>
      <xdr:spPr>
        <a:xfrm>
          <a:off x="11276868" y="10161709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65943</xdr:colOff>
      <xdr:row>46</xdr:row>
      <xdr:rowOff>36634</xdr:rowOff>
    </xdr:from>
    <xdr:to>
      <xdr:col>18</xdr:col>
      <xdr:colOff>183174</xdr:colOff>
      <xdr:row>46</xdr:row>
      <xdr:rowOff>153865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52FABFB7-3901-4119-954E-35BAEFD7AA07}"/>
            </a:ext>
          </a:extLst>
        </xdr:cNvPr>
        <xdr:cNvSpPr/>
      </xdr:nvSpPr>
      <xdr:spPr>
        <a:xfrm>
          <a:off x="11276868" y="10352209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65943</xdr:colOff>
      <xdr:row>75</xdr:row>
      <xdr:rowOff>36634</xdr:rowOff>
    </xdr:from>
    <xdr:to>
      <xdr:col>18</xdr:col>
      <xdr:colOff>183174</xdr:colOff>
      <xdr:row>75</xdr:row>
      <xdr:rowOff>153865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A9BA11C7-1B2A-41B3-BF3E-7F30AA92F9DA}"/>
            </a:ext>
          </a:extLst>
        </xdr:cNvPr>
        <xdr:cNvSpPr/>
      </xdr:nvSpPr>
      <xdr:spPr>
        <a:xfrm>
          <a:off x="11276868" y="956163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65943</xdr:colOff>
      <xdr:row>76</xdr:row>
      <xdr:rowOff>36634</xdr:rowOff>
    </xdr:from>
    <xdr:to>
      <xdr:col>18</xdr:col>
      <xdr:colOff>183174</xdr:colOff>
      <xdr:row>76</xdr:row>
      <xdr:rowOff>153865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973A2EDA-BD5E-40B6-9810-7A54D7563007}"/>
            </a:ext>
          </a:extLst>
        </xdr:cNvPr>
        <xdr:cNvSpPr/>
      </xdr:nvSpPr>
      <xdr:spPr>
        <a:xfrm>
          <a:off x="11276868" y="9752134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63744</xdr:colOff>
      <xdr:row>75</xdr:row>
      <xdr:rowOff>38099</xdr:rowOff>
    </xdr:from>
    <xdr:to>
      <xdr:col>18</xdr:col>
      <xdr:colOff>171450</xdr:colOff>
      <xdr:row>75</xdr:row>
      <xdr:rowOff>152400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447B28B2-FE84-437D-A8AA-FFF580980FFD}"/>
            </a:ext>
          </a:extLst>
        </xdr:cNvPr>
        <xdr:cNvSpPr/>
      </xdr:nvSpPr>
      <xdr:spPr>
        <a:xfrm>
          <a:off x="11274669" y="15497174"/>
          <a:ext cx="107706" cy="11430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73270</xdr:colOff>
      <xdr:row>93</xdr:row>
      <xdr:rowOff>36635</xdr:rowOff>
    </xdr:from>
    <xdr:to>
      <xdr:col>18</xdr:col>
      <xdr:colOff>190501</xdr:colOff>
      <xdr:row>93</xdr:row>
      <xdr:rowOff>153866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249BD898-3146-4B72-A757-AC8650F0188D}"/>
            </a:ext>
          </a:extLst>
        </xdr:cNvPr>
        <xdr:cNvSpPr/>
      </xdr:nvSpPr>
      <xdr:spPr>
        <a:xfrm>
          <a:off x="11284195" y="17495960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73269</xdr:colOff>
      <xdr:row>92</xdr:row>
      <xdr:rowOff>65941</xdr:rowOff>
    </xdr:from>
    <xdr:to>
      <xdr:col>18</xdr:col>
      <xdr:colOff>190500</xdr:colOff>
      <xdr:row>92</xdr:row>
      <xdr:rowOff>183172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DD80A5A2-F178-4384-BAE1-7722F3A1350F}"/>
            </a:ext>
          </a:extLst>
        </xdr:cNvPr>
        <xdr:cNvSpPr/>
      </xdr:nvSpPr>
      <xdr:spPr>
        <a:xfrm>
          <a:off x="11284194" y="1732524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73270</xdr:colOff>
      <xdr:row>84</xdr:row>
      <xdr:rowOff>36635</xdr:rowOff>
    </xdr:from>
    <xdr:to>
      <xdr:col>18</xdr:col>
      <xdr:colOff>190501</xdr:colOff>
      <xdr:row>84</xdr:row>
      <xdr:rowOff>153866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107A930F-EB2A-47F3-841C-B4CB5E6EB0CF}"/>
            </a:ext>
          </a:extLst>
        </xdr:cNvPr>
        <xdr:cNvSpPr/>
      </xdr:nvSpPr>
      <xdr:spPr>
        <a:xfrm>
          <a:off x="11284195" y="16295810"/>
          <a:ext cx="117231" cy="117231"/>
        </a:xfrm>
        <a:prstGeom prst="flowChartConnector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73269</xdr:colOff>
      <xdr:row>83</xdr:row>
      <xdr:rowOff>65941</xdr:rowOff>
    </xdr:from>
    <xdr:to>
      <xdr:col>18</xdr:col>
      <xdr:colOff>190500</xdr:colOff>
      <xdr:row>83</xdr:row>
      <xdr:rowOff>183172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672E40FE-934D-46C6-918C-43803F7BC768}"/>
            </a:ext>
          </a:extLst>
        </xdr:cNvPr>
        <xdr:cNvSpPr/>
      </xdr:nvSpPr>
      <xdr:spPr>
        <a:xfrm>
          <a:off x="11284194" y="16125091"/>
          <a:ext cx="117231" cy="117231"/>
        </a:xfrm>
        <a:prstGeom prst="flowChartConnector">
          <a:avLst/>
        </a:prstGeom>
        <a:solidFill>
          <a:schemeClr val="tx1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39</xdr:col>
      <xdr:colOff>0</xdr:colOff>
      <xdr:row>81</xdr:row>
      <xdr:rowOff>0</xdr:rowOff>
    </xdr:from>
    <xdr:to>
      <xdr:col>44</xdr:col>
      <xdr:colOff>591519</xdr:colOff>
      <xdr:row>85</xdr:row>
      <xdr:rowOff>162059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4C730D1-E33E-FA12-4433-562317A3B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907500" y="17617109"/>
          <a:ext cx="6944694" cy="962159"/>
        </a:xfrm>
        <a:prstGeom prst="rect">
          <a:avLst/>
        </a:prstGeom>
      </xdr:spPr>
    </xdr:pic>
    <xdr:clientData/>
  </xdr:twoCellAnchor>
  <xdr:twoCellAnchor editAs="oneCell">
    <xdr:from>
      <xdr:col>39</xdr:col>
      <xdr:colOff>33131</xdr:colOff>
      <xdr:row>94</xdr:row>
      <xdr:rowOff>16565</xdr:rowOff>
    </xdr:from>
    <xdr:to>
      <xdr:col>41</xdr:col>
      <xdr:colOff>1624481</xdr:colOff>
      <xdr:row>104</xdr:row>
      <xdr:rowOff>92491</xdr:rowOff>
    </xdr:to>
    <xdr:pic>
      <xdr:nvPicPr>
        <xdr:cNvPr id="22" name="Picture 19">
          <a:extLst>
            <a:ext uri="{FF2B5EF4-FFF2-40B4-BE49-F238E27FC236}">
              <a16:creationId xmlns:a16="http://schemas.microsoft.com/office/drawing/2014/main" id="{9B764C79-4703-1E6D-3F3B-9FF78CE23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940631" y="20217848"/>
          <a:ext cx="4839375" cy="20481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UTRI MULYANINGTIAS" id="{9A7E833A-F878-4089-B9C2-52ACECEA4B2A}" userId="S::putri.mulyaningtias@bankbsi.co.id::6daaa61d-aa09-496c-87d8-03e25606c0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27" dT="2025-04-10T04:20:58.12" personId="{9A7E833A-F878-4089-B9C2-52ACECEA4B2A}" id="{9A34FB07-D624-462F-AFF8-224542F387DF}">
    <text>hyperlink ke detail tagihan</text>
  </threadedComment>
  <threadedComment ref="AA27" dT="2025-04-10T04:20:58.12" personId="{9A7E833A-F878-4089-B9C2-52ACECEA4B2A}" id="{A8D82F4D-5653-4770-B644-7A4D9019E471}">
    <text>hyperlink ke detail tagihan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7" dT="2025-04-10T04:20:58.12" personId="{9A7E833A-F878-4089-B9C2-52ACECEA4B2A}" id="{B7E03CE3-0512-495D-AB0A-B275C57F5DFA}">
    <text>hyperlink ke detail tagihan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18" dT="2025-04-10T04:20:58.12" personId="{9A7E833A-F878-4089-B9C2-52ACECEA4B2A}" id="{D2C372B4-08CC-41A0-B8AC-F9D0F8E3BED6}">
    <text>hyperlink ke detail tagihan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B191-3824-4C1E-B44E-714736886DA1}">
  <dimension ref="B1:M14"/>
  <sheetViews>
    <sheetView showGridLines="0" zoomScale="160" zoomScaleNormal="160" workbookViewId="0">
      <selection activeCell="P15" sqref="P15"/>
    </sheetView>
  </sheetViews>
  <sheetFormatPr defaultRowHeight="15" x14ac:dyDescent="0.25"/>
  <cols>
    <col min="1" max="1" width="4" customWidth="1"/>
    <col min="2" max="2" width="4.140625" customWidth="1"/>
    <col min="3" max="3" width="3.28515625" customWidth="1"/>
    <col min="6" max="6" width="7.28515625" customWidth="1"/>
    <col min="7" max="7" width="7.85546875" customWidth="1"/>
    <col min="8" max="8" width="8.28515625" customWidth="1"/>
    <col min="9" max="9" width="13" customWidth="1"/>
    <col min="10" max="10" width="17.42578125" customWidth="1"/>
    <col min="13" max="13" width="4.5703125" customWidth="1"/>
  </cols>
  <sheetData>
    <row r="1" spans="2:13" ht="15.75" thickBot="1" x14ac:dyDescent="0.3"/>
    <row r="2" spans="2:13" x14ac:dyDescent="0.25">
      <c r="B2" s="196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8"/>
    </row>
    <row r="3" spans="2:13" ht="21" x14ac:dyDescent="0.35">
      <c r="B3" s="199"/>
      <c r="C3" s="39"/>
      <c r="D3" s="40" t="s">
        <v>0</v>
      </c>
      <c r="E3" s="41"/>
      <c r="F3" s="41"/>
      <c r="G3" s="41"/>
      <c r="H3" s="41"/>
      <c r="I3" s="42"/>
      <c r="M3" s="200"/>
    </row>
    <row r="4" spans="2:13" x14ac:dyDescent="0.25">
      <c r="B4" s="199"/>
      <c r="M4" s="200"/>
    </row>
    <row r="5" spans="2:13" ht="18" x14ac:dyDescent="0.25">
      <c r="B5" s="199"/>
      <c r="D5" s="192" t="s">
        <v>1</v>
      </c>
      <c r="H5" s="192" t="s">
        <v>2</v>
      </c>
      <c r="I5" s="195" t="s">
        <v>3</v>
      </c>
      <c r="K5" s="192" t="s">
        <v>2</v>
      </c>
      <c r="L5" s="193"/>
      <c r="M5" s="200"/>
    </row>
    <row r="6" spans="2:13" ht="15" customHeight="1" x14ac:dyDescent="0.25">
      <c r="B6" s="199"/>
      <c r="D6" s="563" t="s">
        <v>4</v>
      </c>
      <c r="E6" s="563"/>
      <c r="F6" s="566" t="s">
        <v>5</v>
      </c>
      <c r="G6" s="566"/>
      <c r="H6" s="565" t="s">
        <v>6</v>
      </c>
      <c r="I6" s="565"/>
      <c r="J6" s="190" t="s">
        <v>7</v>
      </c>
      <c r="K6" s="564" t="s">
        <v>8</v>
      </c>
      <c r="L6" s="564"/>
      <c r="M6" s="200"/>
    </row>
    <row r="7" spans="2:13" ht="15" customHeight="1" x14ac:dyDescent="0.25">
      <c r="B7" s="199"/>
      <c r="D7" s="563"/>
      <c r="E7" s="563"/>
      <c r="F7" s="567" t="s">
        <v>9</v>
      </c>
      <c r="G7" s="567"/>
      <c r="H7" s="565"/>
      <c r="I7" s="565"/>
      <c r="J7" s="191"/>
      <c r="K7" s="564"/>
      <c r="L7" s="564"/>
      <c r="M7" s="200"/>
    </row>
    <row r="8" spans="2:13" ht="15" customHeight="1" x14ac:dyDescent="0.25">
      <c r="B8" s="199"/>
      <c r="D8" s="563"/>
      <c r="E8" s="563"/>
      <c r="H8" s="565"/>
      <c r="I8" s="565"/>
      <c r="J8" s="188" t="s">
        <v>10</v>
      </c>
      <c r="K8" s="564"/>
      <c r="L8" s="564"/>
      <c r="M8" s="200"/>
    </row>
    <row r="9" spans="2:13" ht="27" x14ac:dyDescent="0.25">
      <c r="B9" s="199"/>
      <c r="H9" s="194" t="s">
        <v>11</v>
      </c>
      <c r="I9" s="195" t="s">
        <v>12</v>
      </c>
      <c r="K9" s="194" t="s">
        <v>11</v>
      </c>
      <c r="L9" s="195" t="s">
        <v>13</v>
      </c>
      <c r="M9" s="200"/>
    </row>
    <row r="10" spans="2:13" x14ac:dyDescent="0.25">
      <c r="B10" s="199"/>
      <c r="H10" s="189"/>
      <c r="M10" s="200"/>
    </row>
    <row r="11" spans="2:13" ht="15" customHeight="1" x14ac:dyDescent="0.25">
      <c r="B11" s="199"/>
      <c r="D11" s="192" t="s">
        <v>1</v>
      </c>
      <c r="I11" s="189"/>
      <c r="M11" s="200"/>
    </row>
    <row r="12" spans="2:13" ht="20.25" customHeight="1" x14ac:dyDescent="0.25">
      <c r="B12" s="199"/>
      <c r="D12" s="561" t="s">
        <v>14</v>
      </c>
      <c r="E12" s="561"/>
      <c r="M12" s="200"/>
    </row>
    <row r="13" spans="2:13" ht="20.25" customHeight="1" x14ac:dyDescent="0.25">
      <c r="B13" s="199"/>
      <c r="D13" s="561"/>
      <c r="E13" s="561"/>
      <c r="F13" s="562" t="s">
        <v>15</v>
      </c>
      <c r="G13" s="562"/>
      <c r="H13" s="562"/>
      <c r="M13" s="200"/>
    </row>
    <row r="14" spans="2:13" ht="58.5" customHeight="1" thickBot="1" x14ac:dyDescent="0.3">
      <c r="B14" s="201"/>
      <c r="C14" s="202"/>
      <c r="D14" s="203" t="s">
        <v>16</v>
      </c>
      <c r="E14" s="205" t="s">
        <v>17</v>
      </c>
      <c r="F14" s="202"/>
      <c r="G14" s="202"/>
      <c r="H14" s="202"/>
      <c r="I14" s="202"/>
      <c r="J14" s="202"/>
      <c r="K14" s="202"/>
      <c r="L14" s="202"/>
      <c r="M14" s="204"/>
    </row>
  </sheetData>
  <mergeCells count="7">
    <mergeCell ref="D12:E13"/>
    <mergeCell ref="F13:H13"/>
    <mergeCell ref="D6:E8"/>
    <mergeCell ref="K6:L8"/>
    <mergeCell ref="H6:I8"/>
    <mergeCell ref="F6:G6"/>
    <mergeCell ref="F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C24D-86DB-4B97-A10D-667B7237413A}">
  <dimension ref="B2:T50"/>
  <sheetViews>
    <sheetView showGridLines="0" zoomScale="85" zoomScaleNormal="85" workbookViewId="0">
      <selection activeCell="L26" sqref="L26"/>
    </sheetView>
  </sheetViews>
  <sheetFormatPr defaultRowHeight="15" x14ac:dyDescent="0.25"/>
  <cols>
    <col min="2" max="2" width="15.5703125" customWidth="1"/>
    <col min="3" max="3" width="12.85546875" customWidth="1"/>
    <col min="5" max="5" width="13.85546875" customWidth="1"/>
    <col min="6" max="6" width="7.42578125" customWidth="1"/>
    <col min="7" max="7" width="27.7109375" customWidth="1"/>
    <col min="8" max="8" width="20.42578125" customWidth="1"/>
    <col min="9" max="9" width="3.5703125" customWidth="1"/>
    <col min="10" max="10" width="14.28515625" customWidth="1"/>
    <col min="11" max="11" width="7.7109375" customWidth="1"/>
    <col min="12" max="12" width="43" customWidth="1"/>
    <col min="13" max="13" width="4.5703125" customWidth="1"/>
    <col min="14" max="14" width="18.5703125" customWidth="1"/>
    <col min="15" max="15" width="17.140625" style="9" customWidth="1"/>
    <col min="16" max="16" width="28.5703125" customWidth="1"/>
    <col min="17" max="17" width="13.5703125" customWidth="1"/>
    <col min="18" max="18" width="20.42578125" customWidth="1"/>
  </cols>
  <sheetData>
    <row r="2" spans="2:19" ht="21" x14ac:dyDescent="0.35">
      <c r="E2" s="43" t="s">
        <v>18</v>
      </c>
      <c r="F2" s="43"/>
      <c r="J2" s="43" t="s">
        <v>19</v>
      </c>
      <c r="K2" s="43"/>
    </row>
    <row r="3" spans="2:19" x14ac:dyDescent="0.25">
      <c r="B3" s="2"/>
      <c r="E3" t="s">
        <v>20</v>
      </c>
    </row>
    <row r="4" spans="2:19" ht="18.75" x14ac:dyDescent="0.3">
      <c r="B4" s="65" t="s">
        <v>21</v>
      </c>
      <c r="C4" s="65" t="s">
        <v>22</v>
      </c>
      <c r="E4" s="87" t="s">
        <v>22</v>
      </c>
      <c r="F4" s="65" t="s">
        <v>23</v>
      </c>
      <c r="G4" s="65" t="s">
        <v>24</v>
      </c>
      <c r="H4" s="65" t="s">
        <v>21</v>
      </c>
      <c r="J4" s="80" t="s">
        <v>22</v>
      </c>
      <c r="K4" s="65" t="s">
        <v>23</v>
      </c>
      <c r="L4" s="65" t="s">
        <v>25</v>
      </c>
      <c r="N4" s="66" t="s">
        <v>26</v>
      </c>
      <c r="O4" s="59"/>
      <c r="P4" s="60" t="s">
        <v>27</v>
      </c>
    </row>
    <row r="5" spans="2:19" ht="15.75" customHeight="1" x14ac:dyDescent="0.25">
      <c r="B5" s="93" t="s">
        <v>28</v>
      </c>
      <c r="C5" s="94" t="s">
        <v>29</v>
      </c>
      <c r="E5" s="186" t="s">
        <v>29</v>
      </c>
      <c r="F5" s="96">
        <v>1</v>
      </c>
      <c r="G5" s="97" t="s">
        <v>30</v>
      </c>
      <c r="H5" s="93" t="s">
        <v>31</v>
      </c>
      <c r="J5" s="105" t="s">
        <v>29</v>
      </c>
      <c r="K5" s="106">
        <v>1</v>
      </c>
      <c r="L5" s="93" t="s">
        <v>32</v>
      </c>
      <c r="N5" s="61" t="s">
        <v>33</v>
      </c>
      <c r="P5" s="62" t="s">
        <v>34</v>
      </c>
      <c r="R5" s="88" t="s">
        <v>35</v>
      </c>
      <c r="S5" s="9"/>
    </row>
    <row r="6" spans="2:19" ht="15.75" customHeight="1" x14ac:dyDescent="0.25">
      <c r="B6" s="93" t="s">
        <v>36</v>
      </c>
      <c r="C6" s="94" t="s">
        <v>29</v>
      </c>
      <c r="E6" s="187"/>
      <c r="F6" s="96"/>
      <c r="G6" s="97"/>
      <c r="H6" s="93" t="s">
        <v>28</v>
      </c>
      <c r="J6" s="105"/>
      <c r="K6" s="106">
        <v>2</v>
      </c>
      <c r="L6" s="93" t="s">
        <v>37</v>
      </c>
      <c r="N6" s="229" t="s">
        <v>38</v>
      </c>
      <c r="O6" s="111"/>
      <c r="P6" s="112" t="s">
        <v>39</v>
      </c>
      <c r="R6" s="88" t="s">
        <v>40</v>
      </c>
    </row>
    <row r="7" spans="2:19" ht="15.75" customHeight="1" x14ac:dyDescent="0.25">
      <c r="B7" s="93" t="s">
        <v>41</v>
      </c>
      <c r="C7" s="94" t="s">
        <v>29</v>
      </c>
      <c r="E7" s="187"/>
      <c r="F7" s="98"/>
      <c r="G7" s="99"/>
      <c r="H7" s="93" t="s">
        <v>42</v>
      </c>
      <c r="J7" s="105"/>
      <c r="K7" s="106">
        <v>3</v>
      </c>
      <c r="L7" s="93" t="s">
        <v>43</v>
      </c>
      <c r="N7" s="110" t="s">
        <v>44</v>
      </c>
      <c r="O7" s="111"/>
      <c r="P7" s="112" t="s">
        <v>45</v>
      </c>
      <c r="R7" s="88" t="s">
        <v>46</v>
      </c>
    </row>
    <row r="8" spans="2:19" ht="15.75" customHeight="1" x14ac:dyDescent="0.25">
      <c r="B8" s="93" t="s">
        <v>47</v>
      </c>
      <c r="C8" s="94" t="s">
        <v>29</v>
      </c>
      <c r="E8" s="187"/>
      <c r="F8" s="100"/>
      <c r="G8" s="101"/>
      <c r="H8" s="102" t="s">
        <v>36</v>
      </c>
      <c r="J8" s="105"/>
      <c r="K8" s="106">
        <v>4</v>
      </c>
      <c r="L8" s="93" t="s">
        <v>48</v>
      </c>
      <c r="N8" s="113" t="s">
        <v>49</v>
      </c>
      <c r="O8" s="114"/>
      <c r="P8" s="115" t="s">
        <v>50</v>
      </c>
      <c r="R8" s="9"/>
    </row>
    <row r="9" spans="2:19" ht="15.75" customHeight="1" x14ac:dyDescent="0.25">
      <c r="B9" s="93" t="s">
        <v>51</v>
      </c>
      <c r="C9" s="94" t="s">
        <v>29</v>
      </c>
      <c r="E9" s="187"/>
      <c r="F9" s="100"/>
      <c r="G9" s="101"/>
      <c r="H9" s="102" t="s">
        <v>41</v>
      </c>
      <c r="J9" s="105"/>
      <c r="K9" s="106">
        <v>5</v>
      </c>
      <c r="L9" s="93" t="s">
        <v>52</v>
      </c>
      <c r="R9" s="108" t="s">
        <v>53</v>
      </c>
    </row>
    <row r="10" spans="2:19" ht="15.75" customHeight="1" x14ac:dyDescent="0.25">
      <c r="B10" s="93" t="s">
        <v>54</v>
      </c>
      <c r="C10" s="94" t="s">
        <v>29</v>
      </c>
      <c r="E10" s="187"/>
      <c r="F10" s="100"/>
      <c r="G10" s="101"/>
      <c r="H10" s="102" t="s">
        <v>47</v>
      </c>
      <c r="J10" s="105"/>
      <c r="K10" s="106">
        <v>6</v>
      </c>
      <c r="L10" s="93" t="s">
        <v>55</v>
      </c>
      <c r="R10" s="88" t="s">
        <v>56</v>
      </c>
    </row>
    <row r="11" spans="2:19" ht="15.75" customHeight="1" x14ac:dyDescent="0.25">
      <c r="B11" s="95" t="s">
        <v>57</v>
      </c>
      <c r="C11" s="94" t="s">
        <v>29</v>
      </c>
      <c r="E11" s="187"/>
      <c r="F11" s="100"/>
      <c r="G11" s="101"/>
      <c r="H11" s="103" t="s">
        <v>54</v>
      </c>
      <c r="J11" s="105"/>
      <c r="K11" s="106">
        <v>7</v>
      </c>
      <c r="L11" s="93" t="s">
        <v>58</v>
      </c>
    </row>
    <row r="12" spans="2:19" ht="15.75" customHeight="1" x14ac:dyDescent="0.25">
      <c r="B12" s="93" t="s">
        <v>59</v>
      </c>
      <c r="C12" s="94" t="s">
        <v>29</v>
      </c>
      <c r="E12" s="187"/>
      <c r="F12" s="96"/>
      <c r="G12" s="97"/>
      <c r="H12" s="102" t="s">
        <v>57</v>
      </c>
      <c r="J12" s="105"/>
      <c r="K12" s="106">
        <v>8</v>
      </c>
      <c r="L12" s="93" t="s">
        <v>60</v>
      </c>
    </row>
    <row r="13" spans="2:19" ht="15.75" customHeight="1" x14ac:dyDescent="0.25">
      <c r="B13" s="93" t="s">
        <v>61</v>
      </c>
      <c r="C13" s="94" t="s">
        <v>29</v>
      </c>
      <c r="E13" s="187"/>
      <c r="F13" s="98"/>
      <c r="G13" s="99"/>
      <c r="H13" s="102" t="s">
        <v>59</v>
      </c>
      <c r="J13" s="105"/>
      <c r="K13" s="106">
        <v>9</v>
      </c>
      <c r="L13" s="93" t="s">
        <v>62</v>
      </c>
    </row>
    <row r="14" spans="2:19" ht="15.75" customHeight="1" x14ac:dyDescent="0.25">
      <c r="B14" s="93" t="s">
        <v>63</v>
      </c>
      <c r="C14" s="94" t="s">
        <v>29</v>
      </c>
      <c r="E14" s="187"/>
      <c r="F14" s="104"/>
      <c r="G14" s="101"/>
      <c r="H14" s="102" t="s">
        <v>51</v>
      </c>
      <c r="J14" s="105"/>
      <c r="K14" s="106">
        <v>10</v>
      </c>
      <c r="L14" s="93" t="s">
        <v>64</v>
      </c>
    </row>
    <row r="15" spans="2:19" ht="15.75" customHeight="1" x14ac:dyDescent="0.25">
      <c r="B15" s="93" t="s">
        <v>65</v>
      </c>
      <c r="C15" s="94" t="s">
        <v>29</v>
      </c>
      <c r="E15" s="187"/>
      <c r="F15" s="96">
        <v>2</v>
      </c>
      <c r="G15" s="97" t="s">
        <v>66</v>
      </c>
      <c r="H15" s="102" t="s">
        <v>31</v>
      </c>
      <c r="J15" s="81" t="s">
        <v>67</v>
      </c>
      <c r="K15" s="75">
        <v>1</v>
      </c>
      <c r="L15" s="78" t="s">
        <v>68</v>
      </c>
    </row>
    <row r="16" spans="2:19" ht="15.75" customHeight="1" x14ac:dyDescent="0.25">
      <c r="B16" s="93" t="s">
        <v>69</v>
      </c>
      <c r="C16" s="94" t="s">
        <v>29</v>
      </c>
      <c r="E16" s="187"/>
      <c r="F16" s="98"/>
      <c r="G16" s="99"/>
      <c r="H16" s="102" t="s">
        <v>61</v>
      </c>
      <c r="J16" s="81"/>
      <c r="K16" s="75">
        <v>2</v>
      </c>
      <c r="L16" s="78" t="s">
        <v>70</v>
      </c>
    </row>
    <row r="17" spans="2:20" s="131" customFormat="1" ht="27.75" customHeight="1" x14ac:dyDescent="0.25">
      <c r="B17" s="235" t="s">
        <v>71</v>
      </c>
      <c r="C17" s="230" t="s">
        <v>29</v>
      </c>
      <c r="E17" s="231"/>
      <c r="F17" s="104"/>
      <c r="G17" s="236"/>
      <c r="H17" s="237" t="s">
        <v>72</v>
      </c>
      <c r="J17" s="232"/>
      <c r="K17" s="233">
        <v>3</v>
      </c>
      <c r="L17" s="234" t="s">
        <v>73</v>
      </c>
      <c r="M17" s="250" t="s">
        <v>74</v>
      </c>
      <c r="N17" s="251" t="s">
        <v>75</v>
      </c>
      <c r="O17" s="251" t="s">
        <v>76</v>
      </c>
      <c r="P17" s="251"/>
      <c r="Q17" s="252" t="s">
        <v>77</v>
      </c>
      <c r="R17" s="253" t="s">
        <v>78</v>
      </c>
      <c r="T17" s="131" t="s">
        <v>79</v>
      </c>
    </row>
    <row r="18" spans="2:20" ht="15.75" customHeight="1" x14ac:dyDescent="0.25">
      <c r="B18" s="93" t="s">
        <v>80</v>
      </c>
      <c r="C18" s="94" t="s">
        <v>29</v>
      </c>
      <c r="E18" s="187"/>
      <c r="F18" s="100"/>
      <c r="G18" s="101"/>
      <c r="H18" s="102" t="s">
        <v>63</v>
      </c>
      <c r="J18" s="81"/>
      <c r="K18" s="75">
        <v>4</v>
      </c>
      <c r="L18" s="78" t="s">
        <v>81</v>
      </c>
      <c r="M18" s="238">
        <v>1</v>
      </c>
      <c r="N18" t="s">
        <v>82</v>
      </c>
      <c r="O18" s="239" t="s">
        <v>83</v>
      </c>
      <c r="P18" t="s">
        <v>84</v>
      </c>
      <c r="R18" s="240"/>
      <c r="T18" t="s">
        <v>85</v>
      </c>
    </row>
    <row r="19" spans="2:20" ht="15.75" customHeight="1" x14ac:dyDescent="0.25">
      <c r="B19" s="93" t="s">
        <v>86</v>
      </c>
      <c r="C19" s="94" t="s">
        <v>29</v>
      </c>
      <c r="E19" s="187"/>
      <c r="F19" s="100"/>
      <c r="G19" s="101"/>
      <c r="H19" s="102" t="s">
        <v>65</v>
      </c>
      <c r="J19" s="81"/>
      <c r="K19" s="75">
        <v>5</v>
      </c>
      <c r="L19" s="78" t="s">
        <v>87</v>
      </c>
      <c r="M19" s="238">
        <v>2</v>
      </c>
      <c r="N19" t="s">
        <v>88</v>
      </c>
      <c r="O19" s="239" t="s">
        <v>83</v>
      </c>
      <c r="P19" t="s">
        <v>89</v>
      </c>
      <c r="R19" s="240"/>
      <c r="T19" t="s">
        <v>90</v>
      </c>
    </row>
    <row r="20" spans="2:20" ht="15.75" customHeight="1" x14ac:dyDescent="0.25">
      <c r="B20" s="93" t="s">
        <v>91</v>
      </c>
      <c r="C20" s="94" t="s">
        <v>29</v>
      </c>
      <c r="E20" s="187"/>
      <c r="F20" s="100"/>
      <c r="G20" s="101"/>
      <c r="H20" s="103" t="s">
        <v>69</v>
      </c>
      <c r="J20" s="81"/>
      <c r="K20" s="75">
        <v>6</v>
      </c>
      <c r="L20" s="78" t="s">
        <v>92</v>
      </c>
      <c r="M20" s="238">
        <v>3</v>
      </c>
      <c r="N20" t="s">
        <v>93</v>
      </c>
      <c r="O20" s="239" t="s">
        <v>83</v>
      </c>
      <c r="P20" t="s">
        <v>94</v>
      </c>
      <c r="R20" s="240"/>
    </row>
    <row r="21" spans="2:20" ht="15.75" customHeight="1" x14ac:dyDescent="0.25">
      <c r="B21" s="78" t="s">
        <v>95</v>
      </c>
      <c r="C21" s="75" t="s">
        <v>67</v>
      </c>
      <c r="E21" s="187"/>
      <c r="F21" s="100"/>
      <c r="G21" s="100"/>
      <c r="H21" s="103" t="s">
        <v>71</v>
      </c>
      <c r="J21" s="81"/>
      <c r="K21" s="75">
        <v>7</v>
      </c>
      <c r="L21" s="78" t="s">
        <v>96</v>
      </c>
      <c r="M21" s="238">
        <v>4</v>
      </c>
      <c r="N21" t="s">
        <v>97</v>
      </c>
      <c r="O21" s="239" t="s">
        <v>83</v>
      </c>
      <c r="P21" t="s">
        <v>94</v>
      </c>
      <c r="R21" s="240"/>
    </row>
    <row r="22" spans="2:20" ht="15.75" customHeight="1" x14ac:dyDescent="0.25">
      <c r="B22" s="79" t="s">
        <v>98</v>
      </c>
      <c r="C22" s="74" t="s">
        <v>99</v>
      </c>
      <c r="E22" s="187"/>
      <c r="F22" s="100"/>
      <c r="G22" s="100"/>
      <c r="H22" s="103" t="s">
        <v>80</v>
      </c>
      <c r="J22" s="81"/>
      <c r="K22" s="75">
        <v>8</v>
      </c>
      <c r="L22" s="78" t="s">
        <v>100</v>
      </c>
      <c r="M22" s="241">
        <v>5</v>
      </c>
      <c r="N22" s="2" t="s">
        <v>101</v>
      </c>
      <c r="O22" s="239" t="s">
        <v>83</v>
      </c>
      <c r="P22" s="2" t="s">
        <v>94</v>
      </c>
      <c r="Q22" s="2"/>
      <c r="R22" s="242" t="s">
        <v>102</v>
      </c>
    </row>
    <row r="23" spans="2:20" ht="15.75" customHeight="1" x14ac:dyDescent="0.25">
      <c r="B23" s="79" t="s">
        <v>103</v>
      </c>
      <c r="C23" s="74" t="s">
        <v>99</v>
      </c>
      <c r="E23" s="187"/>
      <c r="F23" s="100"/>
      <c r="G23" s="100"/>
      <c r="H23" s="103" t="s">
        <v>86</v>
      </c>
      <c r="J23" s="81"/>
      <c r="K23" s="75">
        <v>9</v>
      </c>
      <c r="L23" s="78" t="s">
        <v>104</v>
      </c>
      <c r="M23" s="238">
        <v>6</v>
      </c>
      <c r="N23" t="s">
        <v>105</v>
      </c>
      <c r="O23" s="239" t="s">
        <v>83</v>
      </c>
      <c r="P23" t="s">
        <v>94</v>
      </c>
      <c r="R23" s="240"/>
    </row>
    <row r="24" spans="2:20" ht="15.75" customHeight="1" x14ac:dyDescent="0.25">
      <c r="E24" s="187"/>
      <c r="F24" s="100"/>
      <c r="G24" s="100"/>
      <c r="H24" s="103" t="s">
        <v>91</v>
      </c>
      <c r="J24" s="81"/>
      <c r="K24" s="75">
        <v>10</v>
      </c>
      <c r="L24" s="78" t="s">
        <v>106</v>
      </c>
      <c r="M24" s="238">
        <v>7</v>
      </c>
      <c r="N24" t="s">
        <v>107</v>
      </c>
      <c r="O24" s="9" t="s">
        <v>108</v>
      </c>
      <c r="R24" s="240"/>
    </row>
    <row r="25" spans="2:20" ht="15.75" customHeight="1" x14ac:dyDescent="0.25">
      <c r="E25" s="571" t="s">
        <v>67</v>
      </c>
      <c r="F25" s="183">
        <v>1</v>
      </c>
      <c r="G25" s="86" t="s">
        <v>109</v>
      </c>
      <c r="H25" s="568" t="s">
        <v>95</v>
      </c>
      <c r="J25" s="81"/>
      <c r="K25" s="75">
        <v>11</v>
      </c>
      <c r="L25" s="78" t="s">
        <v>110</v>
      </c>
      <c r="M25" s="238">
        <v>8</v>
      </c>
      <c r="N25" t="s">
        <v>111</v>
      </c>
      <c r="O25" s="9" t="s">
        <v>108</v>
      </c>
      <c r="R25" s="240"/>
    </row>
    <row r="26" spans="2:20" ht="15.75" customHeight="1" x14ac:dyDescent="0.25">
      <c r="E26" s="571"/>
      <c r="F26" s="184">
        <v>2</v>
      </c>
      <c r="G26" s="84" t="s">
        <v>112</v>
      </c>
      <c r="H26" s="569"/>
      <c r="J26" s="81"/>
      <c r="K26" s="75">
        <v>12</v>
      </c>
      <c r="L26" s="78" t="s">
        <v>113</v>
      </c>
      <c r="M26" s="238">
        <v>9</v>
      </c>
      <c r="N26" t="s">
        <v>114</v>
      </c>
      <c r="O26" s="9" t="s">
        <v>108</v>
      </c>
      <c r="R26" s="240"/>
    </row>
    <row r="27" spans="2:20" ht="15.75" customHeight="1" x14ac:dyDescent="0.25">
      <c r="E27" s="570" t="s">
        <v>99</v>
      </c>
      <c r="F27" s="185">
        <v>1</v>
      </c>
      <c r="G27" s="73" t="s">
        <v>115</v>
      </c>
      <c r="H27" s="85" t="s">
        <v>98</v>
      </c>
      <c r="J27" s="82" t="s">
        <v>99</v>
      </c>
      <c r="K27" s="76">
        <v>1</v>
      </c>
      <c r="L27" s="77" t="s">
        <v>116</v>
      </c>
      <c r="M27" s="243">
        <v>10</v>
      </c>
      <c r="N27" s="244" t="s">
        <v>117</v>
      </c>
      <c r="O27" s="245" t="s">
        <v>83</v>
      </c>
      <c r="P27" s="244" t="s">
        <v>94</v>
      </c>
      <c r="Q27" s="244" t="s">
        <v>118</v>
      </c>
      <c r="R27" s="240" t="s">
        <v>119</v>
      </c>
    </row>
    <row r="28" spans="2:20" ht="15.75" customHeight="1" x14ac:dyDescent="0.25">
      <c r="E28" s="570"/>
      <c r="F28" s="185">
        <v>2</v>
      </c>
      <c r="G28" s="73" t="s">
        <v>120</v>
      </c>
      <c r="H28" s="79" t="s">
        <v>103</v>
      </c>
      <c r="J28" s="82"/>
      <c r="K28" s="76">
        <v>2</v>
      </c>
      <c r="L28" s="77" t="s">
        <v>121</v>
      </c>
      <c r="M28" s="246">
        <v>11</v>
      </c>
      <c r="N28" s="247" t="s">
        <v>122</v>
      </c>
      <c r="O28" s="248" t="s">
        <v>83</v>
      </c>
      <c r="P28" s="247" t="s">
        <v>94</v>
      </c>
      <c r="Q28" s="247" t="s">
        <v>118</v>
      </c>
      <c r="R28" s="249" t="s">
        <v>119</v>
      </c>
    </row>
    <row r="29" spans="2:20" ht="15.75" customHeight="1" x14ac:dyDescent="0.25">
      <c r="E29" s="254" t="s">
        <v>123</v>
      </c>
      <c r="F29" s="131"/>
      <c r="H29" s="255"/>
      <c r="J29" s="239"/>
      <c r="K29" s="239"/>
      <c r="L29" s="256"/>
      <c r="O29" s="239"/>
    </row>
    <row r="30" spans="2:20" ht="15.75" customHeight="1" x14ac:dyDescent="0.25">
      <c r="E30" s="227" t="s">
        <v>124</v>
      </c>
      <c r="F30" s="228"/>
      <c r="G30" s="228" t="s">
        <v>125</v>
      </c>
      <c r="H30" s="228" t="s">
        <v>126</v>
      </c>
      <c r="M30" s="2" t="s">
        <v>127</v>
      </c>
    </row>
    <row r="31" spans="2:20" ht="15.75" customHeight="1" x14ac:dyDescent="0.25">
      <c r="M31">
        <v>1</v>
      </c>
      <c r="N31" t="s">
        <v>128</v>
      </c>
    </row>
    <row r="32" spans="2:20" x14ac:dyDescent="0.25">
      <c r="M32">
        <v>2</v>
      </c>
      <c r="N32" t="s">
        <v>129</v>
      </c>
    </row>
    <row r="33" spans="10:14" x14ac:dyDescent="0.25">
      <c r="M33">
        <v>3</v>
      </c>
      <c r="N33" t="s">
        <v>130</v>
      </c>
    </row>
    <row r="34" spans="10:14" hidden="1" x14ac:dyDescent="0.25">
      <c r="J34" s="82"/>
      <c r="K34" s="76">
        <v>3</v>
      </c>
      <c r="L34" s="77" t="s">
        <v>131</v>
      </c>
    </row>
    <row r="35" spans="10:14" hidden="1" x14ac:dyDescent="0.25">
      <c r="J35" s="82"/>
      <c r="K35" s="76">
        <v>4</v>
      </c>
      <c r="L35" s="77" t="s">
        <v>132</v>
      </c>
    </row>
    <row r="36" spans="10:14" hidden="1" x14ac:dyDescent="0.25">
      <c r="J36" s="82"/>
      <c r="K36" s="76">
        <v>5</v>
      </c>
      <c r="L36" s="77" t="s">
        <v>133</v>
      </c>
    </row>
    <row r="37" spans="10:14" hidden="1" x14ac:dyDescent="0.25">
      <c r="J37" s="82"/>
      <c r="K37" s="76">
        <v>6</v>
      </c>
      <c r="L37" s="77" t="s">
        <v>134</v>
      </c>
    </row>
    <row r="38" spans="10:14" hidden="1" x14ac:dyDescent="0.25">
      <c r="J38" s="124"/>
      <c r="K38" s="76">
        <v>7</v>
      </c>
      <c r="L38" s="125" t="s">
        <v>135</v>
      </c>
    </row>
    <row r="39" spans="10:14" hidden="1" x14ac:dyDescent="0.25">
      <c r="J39" s="82"/>
      <c r="K39" s="76">
        <v>8</v>
      </c>
      <c r="L39" s="126" t="s">
        <v>136</v>
      </c>
    </row>
    <row r="40" spans="10:14" hidden="1" x14ac:dyDescent="0.25">
      <c r="J40" s="82"/>
      <c r="K40" s="76">
        <v>9</v>
      </c>
      <c r="L40" s="126" t="s">
        <v>137</v>
      </c>
    </row>
    <row r="41" spans="10:14" hidden="1" x14ac:dyDescent="0.25">
      <c r="J41" s="82"/>
      <c r="K41" s="76">
        <v>10</v>
      </c>
      <c r="L41" s="126" t="s">
        <v>138</v>
      </c>
    </row>
    <row r="42" spans="10:14" hidden="1" x14ac:dyDescent="0.25">
      <c r="J42" s="82"/>
      <c r="K42" s="76">
        <v>11</v>
      </c>
      <c r="L42" s="126" t="s">
        <v>139</v>
      </c>
    </row>
    <row r="43" spans="10:14" hidden="1" x14ac:dyDescent="0.25">
      <c r="J43" s="82"/>
      <c r="K43" s="76">
        <v>12</v>
      </c>
      <c r="L43" s="126" t="s">
        <v>140</v>
      </c>
    </row>
    <row r="44" spans="10:14" hidden="1" x14ac:dyDescent="0.25">
      <c r="J44" s="82"/>
      <c r="K44" s="76">
        <v>13</v>
      </c>
      <c r="L44" s="126" t="s">
        <v>141</v>
      </c>
    </row>
    <row r="45" spans="10:14" hidden="1" x14ac:dyDescent="0.25">
      <c r="J45" s="82"/>
      <c r="K45" s="76">
        <v>14</v>
      </c>
      <c r="L45" s="126" t="s">
        <v>142</v>
      </c>
    </row>
    <row r="46" spans="10:14" hidden="1" x14ac:dyDescent="0.25">
      <c r="J46" s="82"/>
      <c r="K46" s="76">
        <v>15</v>
      </c>
      <c r="L46" s="126" t="s">
        <v>143</v>
      </c>
    </row>
    <row r="47" spans="10:14" hidden="1" x14ac:dyDescent="0.25">
      <c r="J47" s="82"/>
      <c r="K47" s="76">
        <v>16</v>
      </c>
      <c r="L47" s="126" t="s">
        <v>144</v>
      </c>
    </row>
    <row r="48" spans="10:14" hidden="1" x14ac:dyDescent="0.25">
      <c r="J48" s="82"/>
      <c r="K48" s="82">
        <v>17</v>
      </c>
      <c r="L48" s="126" t="s">
        <v>145</v>
      </c>
    </row>
    <row r="49" spans="10:12" hidden="1" x14ac:dyDescent="0.25">
      <c r="J49" s="82"/>
      <c r="K49" s="82">
        <v>18</v>
      </c>
      <c r="L49" s="126" t="s">
        <v>146</v>
      </c>
    </row>
    <row r="50" spans="10:12" hidden="1" x14ac:dyDescent="0.25">
      <c r="J50" s="82"/>
      <c r="K50" s="82">
        <v>19</v>
      </c>
      <c r="L50" s="126" t="s">
        <v>147</v>
      </c>
    </row>
  </sheetData>
  <mergeCells count="3">
    <mergeCell ref="H25:H26"/>
    <mergeCell ref="E27:E28"/>
    <mergeCell ref="E25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D40B-DD86-427E-A894-D49D7E962061}">
  <sheetPr>
    <tabColor rgb="FFFFC000"/>
  </sheetPr>
  <dimension ref="A1:AY71"/>
  <sheetViews>
    <sheetView showGridLines="0" topLeftCell="A58" workbookViewId="0">
      <selection activeCell="R26" sqref="R26"/>
    </sheetView>
  </sheetViews>
  <sheetFormatPr defaultRowHeight="15" x14ac:dyDescent="0.25"/>
  <cols>
    <col min="2" max="2" width="45.42578125" customWidth="1"/>
    <col min="3" max="6" width="15.28515625" customWidth="1"/>
    <col min="7" max="7" width="10.42578125" customWidth="1"/>
    <col min="8" max="8" width="8.140625" customWidth="1"/>
    <col min="9" max="10" width="10.42578125" customWidth="1"/>
    <col min="11" max="11" width="1.140625" customWidth="1"/>
    <col min="12" max="13" width="10.42578125" customWidth="1"/>
    <col min="14" max="14" width="1.140625" customWidth="1"/>
    <col min="15" max="15" width="10.42578125" customWidth="1"/>
    <col min="16" max="16" width="7.5703125" customWidth="1"/>
    <col min="17" max="17" width="5.85546875" customWidth="1"/>
    <col min="18" max="18" width="10.5703125" customWidth="1"/>
    <col min="19" max="19" width="6.85546875" customWidth="1"/>
    <col min="20" max="20" width="10.42578125" customWidth="1"/>
    <col min="22" max="22" width="54.140625" customWidth="1"/>
    <col min="23" max="23" width="3.85546875" customWidth="1"/>
    <col min="24" max="24" width="6.42578125" customWidth="1"/>
    <col min="25" max="25" width="31" customWidth="1"/>
    <col min="26" max="26" width="22.85546875" customWidth="1"/>
    <col min="27" max="27" width="15.5703125" customWidth="1"/>
    <col min="28" max="28" width="13.28515625" customWidth="1"/>
    <col min="29" max="29" width="11.5703125" customWidth="1"/>
    <col min="30" max="30" width="18.140625" customWidth="1"/>
    <col min="31" max="31" width="23.85546875" customWidth="1"/>
    <col min="32" max="32" width="18.140625" customWidth="1"/>
    <col min="33" max="33" width="11.5703125" customWidth="1"/>
    <col min="34" max="34" width="24" customWidth="1"/>
    <col min="35" max="35" width="11.5703125" customWidth="1"/>
    <col min="36" max="36" width="18.140625" customWidth="1"/>
    <col min="37" max="37" width="11.5703125" customWidth="1"/>
    <col min="38" max="38" width="18.140625" customWidth="1"/>
    <col min="39" max="39" width="11.5703125" customWidth="1"/>
    <col min="40" max="40" width="18.140625" customWidth="1"/>
    <col min="41" max="41" width="11.5703125" customWidth="1"/>
    <col min="42" max="42" width="18.140625" customWidth="1"/>
    <col min="43" max="43" width="11.5703125" customWidth="1"/>
    <col min="44" max="44" width="18.140625" customWidth="1"/>
    <col min="45" max="45" width="11.5703125" customWidth="1"/>
    <col min="46" max="46" width="18.140625" customWidth="1"/>
    <col min="47" max="47" width="11.5703125" customWidth="1"/>
    <col min="48" max="48" width="18.140625" customWidth="1"/>
    <col min="49" max="49" width="11.5703125" customWidth="1"/>
    <col min="50" max="50" width="18.140625" customWidth="1"/>
    <col min="51" max="51" width="11.5703125" customWidth="1"/>
  </cols>
  <sheetData>
    <row r="1" spans="2:51" ht="21" x14ac:dyDescent="0.35">
      <c r="B1" s="44" t="s">
        <v>148</v>
      </c>
      <c r="V1" t="s">
        <v>149</v>
      </c>
    </row>
    <row r="2" spans="2:51" ht="21" customHeight="1" x14ac:dyDescent="0.25"/>
    <row r="3" spans="2:51" ht="21" customHeight="1" x14ac:dyDescent="0.25"/>
    <row r="4" spans="2:51" ht="21" customHeight="1" x14ac:dyDescent="0.25"/>
    <row r="7" spans="2:51" ht="15" customHeight="1" x14ac:dyDescent="0.25"/>
    <row r="9" spans="2:51" x14ac:dyDescent="0.25">
      <c r="B9" s="3"/>
      <c r="F9" s="586"/>
      <c r="G9" s="586"/>
      <c r="H9" s="586"/>
      <c r="I9" s="586"/>
      <c r="J9" s="586"/>
      <c r="K9" s="586"/>
      <c r="L9" s="586"/>
      <c r="M9" s="586"/>
      <c r="N9" s="586"/>
      <c r="O9" s="586"/>
      <c r="P9" s="586"/>
    </row>
    <row r="10" spans="2:51" x14ac:dyDescent="0.25">
      <c r="B10" s="3"/>
      <c r="D10" s="407" t="s">
        <v>150</v>
      </c>
      <c r="H10" t="s">
        <v>525</v>
      </c>
      <c r="L10" s="407" t="s">
        <v>151</v>
      </c>
    </row>
    <row r="11" spans="2:51" ht="15" customHeight="1" x14ac:dyDescent="0.25">
      <c r="B11" s="3"/>
      <c r="F11" s="395"/>
      <c r="G11" s="396"/>
      <c r="H11" s="397"/>
      <c r="I11" s="395"/>
      <c r="J11" s="396"/>
      <c r="K11" s="398"/>
      <c r="L11" s="395"/>
      <c r="M11" s="396"/>
      <c r="N11" s="399"/>
      <c r="O11" s="395"/>
      <c r="P11" s="396"/>
      <c r="Q11" s="23"/>
      <c r="R11" s="400"/>
      <c r="S11" s="396"/>
      <c r="T11" s="23"/>
    </row>
    <row r="12" spans="2:51" ht="15" customHeight="1" x14ac:dyDescent="0.25">
      <c r="B12" s="3"/>
      <c r="F12" s="587"/>
      <c r="G12" s="587"/>
      <c r="H12" s="401"/>
      <c r="I12" s="587"/>
      <c r="J12" s="587"/>
      <c r="K12" s="402"/>
      <c r="L12" s="587"/>
      <c r="M12" s="587"/>
      <c r="N12" s="401"/>
      <c r="O12" s="587"/>
      <c r="P12" s="587"/>
      <c r="Q12" s="23"/>
      <c r="R12" s="588"/>
      <c r="S12" s="588"/>
      <c r="T12" s="23"/>
    </row>
    <row r="13" spans="2:51" x14ac:dyDescent="0.25">
      <c r="B13" s="4"/>
      <c r="C13" s="5"/>
      <c r="D13" s="5"/>
      <c r="E13" s="5"/>
      <c r="F13" s="587"/>
      <c r="G13" s="587"/>
      <c r="H13" s="403"/>
      <c r="I13" s="587"/>
      <c r="J13" s="587"/>
      <c r="K13" s="404"/>
      <c r="L13" s="587"/>
      <c r="M13" s="587"/>
      <c r="N13" s="401"/>
      <c r="O13" s="587"/>
      <c r="P13" s="587"/>
      <c r="Q13" s="405"/>
      <c r="R13" s="588"/>
      <c r="S13" s="588"/>
      <c r="T13" s="405"/>
    </row>
    <row r="14" spans="2:51" x14ac:dyDescent="0.25">
      <c r="B14" s="4"/>
      <c r="C14" s="5"/>
      <c r="D14" s="5"/>
      <c r="E14" s="5"/>
      <c r="F14" s="90"/>
      <c r="G14" s="32"/>
      <c r="H14" s="7"/>
      <c r="I14" s="7"/>
      <c r="J14" s="7"/>
      <c r="K14" s="7"/>
      <c r="L14" s="7"/>
      <c r="M14" s="7"/>
      <c r="N14" s="7"/>
      <c r="O14" s="7"/>
      <c r="P14" s="7"/>
      <c r="Q14" s="5"/>
      <c r="R14" s="5"/>
      <c r="S14" s="5"/>
      <c r="T14" s="5"/>
    </row>
    <row r="15" spans="2:51" x14ac:dyDescent="0.25">
      <c r="B15" s="4"/>
      <c r="C15" s="5"/>
      <c r="D15" s="5"/>
      <c r="E15" s="5"/>
      <c r="F15" s="589"/>
      <c r="G15" s="589"/>
      <c r="H15" s="589"/>
      <c r="I15" s="589"/>
      <c r="J15" s="589"/>
      <c r="K15" s="589"/>
      <c r="L15" s="589"/>
      <c r="M15" s="589"/>
      <c r="N15" s="107"/>
      <c r="O15" s="107"/>
      <c r="P15" s="107"/>
      <c r="Q15" s="5"/>
      <c r="R15" s="5"/>
      <c r="S15" s="5"/>
      <c r="T15" s="5"/>
    </row>
    <row r="16" spans="2:51" ht="15.75" x14ac:dyDescent="0.25">
      <c r="B16" s="4"/>
      <c r="C16" s="5"/>
      <c r="D16" s="51"/>
      <c r="E16" s="5"/>
      <c r="F16" s="51"/>
      <c r="G16" s="32"/>
      <c r="H16" s="7"/>
      <c r="I16" s="52"/>
      <c r="J16" s="32"/>
      <c r="K16" s="7"/>
      <c r="L16" s="52"/>
      <c r="M16" s="32"/>
      <c r="N16" s="7"/>
      <c r="O16" s="52"/>
      <c r="P16" s="7"/>
      <c r="Q16" s="52"/>
      <c r="R16" s="7"/>
      <c r="S16" s="5"/>
      <c r="T16" s="5"/>
      <c r="AQ16" s="513"/>
      <c r="AR16" s="513"/>
      <c r="AS16" s="513"/>
      <c r="AT16" s="513"/>
      <c r="AU16" s="513"/>
      <c r="AV16" s="513"/>
      <c r="AW16" s="513"/>
      <c r="AX16" s="513"/>
      <c r="AY16" s="513"/>
    </row>
    <row r="17" spans="2:51" ht="15.75" x14ac:dyDescent="0.25">
      <c r="B17" s="4"/>
      <c r="C17" s="405"/>
      <c r="D17" s="410"/>
      <c r="E17" s="405"/>
      <c r="F17" s="410"/>
      <c r="G17" s="408"/>
      <c r="H17" s="401"/>
      <c r="I17" s="411"/>
      <c r="J17" s="408"/>
      <c r="K17" s="401"/>
      <c r="L17" s="411"/>
      <c r="M17" s="408"/>
      <c r="N17" s="7"/>
      <c r="O17" s="52"/>
      <c r="P17" s="7"/>
      <c r="Q17" s="52"/>
      <c r="R17" s="7"/>
      <c r="S17" s="5"/>
      <c r="T17" s="5"/>
      <c r="AQ17" s="514"/>
      <c r="AR17" s="515"/>
      <c r="AS17" s="514"/>
      <c r="AT17" s="515"/>
      <c r="AU17" s="514"/>
      <c r="AV17" s="515"/>
      <c r="AW17" s="514"/>
      <c r="AX17" s="515"/>
      <c r="AY17" s="514"/>
    </row>
    <row r="18" spans="2:51" ht="15.75" customHeight="1" x14ac:dyDescent="0.25">
      <c r="B18" s="4"/>
      <c r="C18" s="405"/>
      <c r="D18" s="410"/>
      <c r="E18" s="405"/>
      <c r="F18" s="406"/>
      <c r="G18" s="408"/>
      <c r="H18" s="401"/>
      <c r="I18" s="406"/>
      <c r="J18" s="408"/>
      <c r="K18" s="401"/>
      <c r="L18" s="590"/>
      <c r="M18" s="590"/>
      <c r="N18" s="7"/>
      <c r="O18" s="7"/>
      <c r="P18" s="7"/>
      <c r="Q18" s="7"/>
      <c r="R18" s="7"/>
      <c r="S18" s="412"/>
      <c r="T18" s="412"/>
      <c r="AQ18" s="514"/>
      <c r="AR18" s="515"/>
      <c r="AS18" s="514"/>
      <c r="AT18" s="515"/>
      <c r="AU18" s="514"/>
      <c r="AV18" s="515"/>
      <c r="AW18" s="514"/>
      <c r="AX18" s="515"/>
      <c r="AY18" s="514"/>
    </row>
    <row r="19" spans="2:51" ht="15.75" x14ac:dyDescent="0.25">
      <c r="B19" s="4"/>
      <c r="C19" s="405"/>
      <c r="D19" s="405"/>
      <c r="E19" s="405"/>
      <c r="F19" s="591"/>
      <c r="G19" s="591"/>
      <c r="H19" s="591"/>
      <c r="I19" s="591"/>
      <c r="J19" s="591"/>
      <c r="K19" s="591"/>
      <c r="L19" s="591"/>
      <c r="M19" s="591"/>
      <c r="N19" s="7"/>
      <c r="O19" s="5"/>
      <c r="P19" s="7"/>
      <c r="Q19" s="585"/>
      <c r="R19" s="585"/>
      <c r="S19" s="585"/>
      <c r="T19" s="585"/>
      <c r="AQ19" s="514"/>
      <c r="AR19" s="515"/>
      <c r="AS19" s="514"/>
      <c r="AT19" s="515"/>
      <c r="AU19" s="514"/>
      <c r="AV19" s="515"/>
      <c r="AW19" s="514"/>
      <c r="AX19" s="515"/>
      <c r="AY19" s="514"/>
    </row>
    <row r="20" spans="2:51" ht="15.75" customHeight="1" x14ac:dyDescent="0.25">
      <c r="B20" s="4"/>
      <c r="C20" s="405"/>
      <c r="D20" s="405"/>
      <c r="E20" s="405"/>
      <c r="F20" s="401"/>
      <c r="G20" s="408"/>
      <c r="H20" s="401"/>
      <c r="I20" s="401"/>
      <c r="J20" s="401"/>
      <c r="K20" s="401"/>
      <c r="L20" s="401"/>
      <c r="M20" s="401"/>
      <c r="N20" s="7"/>
      <c r="O20" s="7"/>
      <c r="P20" s="7"/>
      <c r="Q20" s="5"/>
      <c r="R20" s="5"/>
      <c r="S20" s="5"/>
      <c r="T20" s="5"/>
      <c r="V20" s="3"/>
      <c r="X20" s="1" t="s">
        <v>152</v>
      </c>
      <c r="AQ20" s="514"/>
      <c r="AR20" s="515"/>
      <c r="AS20" s="514"/>
      <c r="AT20" s="515"/>
      <c r="AU20" s="514"/>
      <c r="AV20" s="515"/>
      <c r="AW20" s="514"/>
      <c r="AX20" s="515"/>
      <c r="AY20" s="514"/>
    </row>
    <row r="21" spans="2:51" ht="15.75" x14ac:dyDescent="0.25">
      <c r="B21" s="4"/>
      <c r="C21" s="405"/>
      <c r="D21" s="405"/>
      <c r="E21" s="405"/>
      <c r="F21" s="401"/>
      <c r="G21" s="408"/>
      <c r="H21" s="401"/>
      <c r="I21" s="401"/>
      <c r="J21" s="401"/>
      <c r="K21" s="401"/>
      <c r="L21" s="401"/>
      <c r="M21" s="401"/>
      <c r="N21" s="7"/>
      <c r="O21" s="7"/>
      <c r="P21" s="7"/>
      <c r="Q21" s="585"/>
      <c r="R21" s="585"/>
      <c r="S21" s="585"/>
      <c r="T21" s="585"/>
      <c r="V21" s="3"/>
      <c r="X21" s="5"/>
      <c r="AQ21" s="514"/>
      <c r="AR21" s="515"/>
      <c r="AS21" s="514"/>
      <c r="AT21" s="515"/>
      <c r="AU21" s="514"/>
      <c r="AV21" s="515"/>
      <c r="AW21" s="514"/>
      <c r="AX21" s="515"/>
      <c r="AY21" s="514"/>
    </row>
    <row r="22" spans="2:51" ht="15.75" x14ac:dyDescent="0.25">
      <c r="B22" s="4"/>
      <c r="C22" s="405"/>
      <c r="D22" s="405"/>
      <c r="E22" s="405"/>
      <c r="F22" s="405"/>
      <c r="G22" s="405"/>
      <c r="H22" s="401"/>
      <c r="I22" s="401"/>
      <c r="J22" s="401"/>
      <c r="K22" s="401"/>
      <c r="L22" s="401"/>
      <c r="M22" s="405"/>
      <c r="N22" s="5"/>
      <c r="O22" s="91"/>
      <c r="P22" s="5"/>
      <c r="Q22" s="5"/>
      <c r="R22" s="5"/>
      <c r="S22" s="5"/>
      <c r="T22" s="5"/>
      <c r="V22" s="4"/>
      <c r="W22" s="5"/>
      <c r="X22" s="6" t="s">
        <v>153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Q22" s="514"/>
      <c r="AR22" s="515"/>
      <c r="AS22" s="514"/>
      <c r="AT22" s="515"/>
      <c r="AU22" s="514"/>
      <c r="AV22" s="515"/>
      <c r="AW22" s="514"/>
      <c r="AX22" s="515"/>
      <c r="AY22" s="514"/>
    </row>
    <row r="23" spans="2:51" ht="15.75" x14ac:dyDescent="0.25">
      <c r="B23" s="4"/>
      <c r="C23" s="405"/>
      <c r="D23" s="405"/>
      <c r="E23" s="405"/>
      <c r="F23" s="405"/>
      <c r="G23" s="405"/>
      <c r="H23" s="401"/>
      <c r="I23" s="401"/>
      <c r="J23" s="401"/>
      <c r="K23" s="23"/>
      <c r="L23" s="401"/>
      <c r="M23" s="401"/>
      <c r="N23" s="7"/>
      <c r="O23" s="109"/>
      <c r="P23" s="7"/>
      <c r="Q23" s="5"/>
      <c r="R23" s="5"/>
      <c r="S23" s="5"/>
      <c r="T23" s="5"/>
      <c r="V23" s="4"/>
      <c r="W23" s="5"/>
      <c r="X23" s="5" t="s">
        <v>154</v>
      </c>
      <c r="Y23" s="5" t="s">
        <v>29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Q23" s="514"/>
      <c r="AR23" s="515"/>
      <c r="AS23" s="514"/>
      <c r="AT23" s="515"/>
      <c r="AU23" s="514"/>
      <c r="AV23" s="515"/>
      <c r="AW23" s="514"/>
      <c r="AX23" s="515"/>
      <c r="AY23" s="514"/>
    </row>
    <row r="24" spans="2:51" ht="15.75" x14ac:dyDescent="0.25">
      <c r="B24" s="4"/>
      <c r="C24" s="405"/>
      <c r="D24" s="405"/>
      <c r="E24" s="405"/>
      <c r="F24" s="405"/>
      <c r="G24" s="405"/>
      <c r="H24" s="405"/>
      <c r="I24" s="405"/>
      <c r="J24" s="409"/>
      <c r="K24" s="405"/>
      <c r="L24" s="405"/>
      <c r="M24" s="401"/>
      <c r="N24" s="7"/>
      <c r="O24" s="7"/>
      <c r="P24" s="7"/>
      <c r="Q24" s="5"/>
      <c r="R24" s="5"/>
      <c r="S24" s="5"/>
      <c r="T24" s="5"/>
      <c r="V24" s="4"/>
      <c r="W24" s="5"/>
      <c r="X24" s="5" t="s">
        <v>155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14"/>
      <c r="AR24" s="515"/>
      <c r="AS24" s="514"/>
      <c r="AT24" s="515"/>
      <c r="AU24" s="514"/>
      <c r="AV24" s="515"/>
      <c r="AW24" s="514"/>
      <c r="AX24" s="515"/>
      <c r="AY24" s="514"/>
    </row>
    <row r="25" spans="2:51" ht="15.75" x14ac:dyDescent="0.25">
      <c r="B25" s="4"/>
      <c r="C25" s="405"/>
      <c r="D25" s="405"/>
      <c r="E25" s="405"/>
      <c r="F25" s="401"/>
      <c r="G25" s="408"/>
      <c r="H25" s="401"/>
      <c r="I25" s="401"/>
      <c r="J25" s="401"/>
      <c r="K25" s="401"/>
      <c r="L25" s="401"/>
      <c r="M25" s="401"/>
      <c r="N25" s="7"/>
      <c r="O25" s="7"/>
      <c r="P25" s="7"/>
      <c r="Q25" s="5"/>
      <c r="R25" s="5"/>
      <c r="S25" s="5"/>
      <c r="T25" s="5"/>
      <c r="V25" s="4"/>
      <c r="W25" s="5"/>
      <c r="X25" s="5"/>
      <c r="Y25" s="5"/>
      <c r="Z25" s="5"/>
      <c r="AA25" s="5"/>
      <c r="AB25" s="5"/>
      <c r="AC25" s="5"/>
      <c r="AD25" s="31"/>
      <c r="AE25" s="5"/>
      <c r="AF25" s="31"/>
      <c r="AG25" s="31"/>
      <c r="AH25" s="5"/>
      <c r="AI25" s="5"/>
      <c r="AJ25" s="5"/>
      <c r="AK25" s="5"/>
      <c r="AL25" s="5"/>
      <c r="AM25" s="5"/>
      <c r="AN25" s="5"/>
      <c r="AO25" s="5"/>
      <c r="AP25" s="5"/>
      <c r="AQ25" s="514"/>
      <c r="AR25" s="515"/>
      <c r="AS25" s="514"/>
      <c r="AT25" s="515"/>
      <c r="AU25" s="514"/>
      <c r="AV25" s="515"/>
      <c r="AW25" s="514"/>
      <c r="AX25" s="515"/>
      <c r="AY25" s="514"/>
    </row>
    <row r="26" spans="2:51" ht="21" x14ac:dyDescent="0.35">
      <c r="B26" s="4"/>
      <c r="C26" s="405"/>
      <c r="D26" s="405"/>
      <c r="E26" s="405"/>
      <c r="F26" s="405"/>
      <c r="G26" s="405"/>
      <c r="H26" s="405"/>
      <c r="I26" s="405"/>
      <c r="J26" s="405"/>
      <c r="K26" s="405"/>
      <c r="L26" s="405"/>
      <c r="M26" s="401"/>
      <c r="N26" s="7"/>
      <c r="O26" s="7"/>
      <c r="P26" s="7"/>
      <c r="Q26" s="5"/>
      <c r="R26" s="5"/>
      <c r="S26" s="5"/>
      <c r="T26" s="5"/>
      <c r="V26" s="4"/>
      <c r="W26" s="5"/>
      <c r="X26" s="518"/>
      <c r="Y26" s="518"/>
      <c r="Z26" s="518"/>
      <c r="AA26" s="518"/>
      <c r="AB26" s="518"/>
      <c r="AC26" s="518"/>
      <c r="AD26" s="517"/>
      <c r="AE26" s="517"/>
      <c r="AF26" s="517"/>
      <c r="AG26" s="517"/>
      <c r="AH26" s="517"/>
      <c r="AI26" s="517"/>
      <c r="AJ26" s="523"/>
      <c r="AK26" s="523"/>
      <c r="AL26" s="523"/>
      <c r="AM26" s="523"/>
      <c r="AN26" s="5"/>
      <c r="AO26" s="5"/>
      <c r="AP26" s="5"/>
      <c r="AQ26" s="514"/>
      <c r="AR26" s="515"/>
      <c r="AS26" s="514"/>
      <c r="AT26" s="515"/>
      <c r="AU26" s="514"/>
      <c r="AV26" s="515"/>
      <c r="AW26" s="514"/>
      <c r="AX26" s="515"/>
      <c r="AY26" s="514"/>
    </row>
    <row r="27" spans="2:51" ht="15.75" x14ac:dyDescent="0.2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V27" s="4"/>
      <c r="W27" s="5"/>
      <c r="X27" s="579" t="s">
        <v>74</v>
      </c>
      <c r="Y27" s="579" t="s">
        <v>156</v>
      </c>
      <c r="Z27" s="579" t="s">
        <v>157</v>
      </c>
      <c r="AA27" s="581" t="s">
        <v>158</v>
      </c>
      <c r="AB27" s="581"/>
      <c r="AC27" s="582"/>
      <c r="AD27" s="581" t="s">
        <v>159</v>
      </c>
      <c r="AE27" s="581"/>
      <c r="AF27" s="581"/>
      <c r="AG27" s="583" t="s">
        <v>160</v>
      </c>
      <c r="AH27" s="583"/>
      <c r="AI27" s="583"/>
      <c r="AJ27" s="524"/>
      <c r="AK27" s="525"/>
      <c r="AL27" s="526"/>
      <c r="AM27" s="525"/>
      <c r="AN27" s="584"/>
      <c r="AO27" s="584"/>
      <c r="AP27" s="523"/>
      <c r="AQ27" s="514"/>
      <c r="AR27" s="515"/>
      <c r="AS27" s="514"/>
      <c r="AT27" s="515"/>
      <c r="AU27" s="514"/>
      <c r="AV27" s="515"/>
      <c r="AW27" s="514"/>
      <c r="AX27" s="515"/>
      <c r="AY27" s="514"/>
    </row>
    <row r="28" spans="2:51" ht="15.75" x14ac:dyDescent="0.25">
      <c r="B28" s="4"/>
      <c r="V28" s="4"/>
      <c r="W28" s="5"/>
      <c r="X28" s="580"/>
      <c r="Y28" s="580"/>
      <c r="Z28" s="580"/>
      <c r="AA28" s="519" t="s">
        <v>161</v>
      </c>
      <c r="AB28" s="519" t="s">
        <v>162</v>
      </c>
      <c r="AC28" s="519" t="s">
        <v>163</v>
      </c>
      <c r="AD28" s="519" t="s">
        <v>161</v>
      </c>
      <c r="AE28" s="519" t="s">
        <v>162</v>
      </c>
      <c r="AF28" s="528" t="s">
        <v>163</v>
      </c>
      <c r="AG28" s="529" t="s">
        <v>161</v>
      </c>
      <c r="AH28" s="529" t="s">
        <v>162</v>
      </c>
      <c r="AI28" s="529" t="s">
        <v>163</v>
      </c>
      <c r="AJ28" s="524"/>
      <c r="AK28" s="525"/>
      <c r="AL28" s="526"/>
      <c r="AM28" s="525"/>
      <c r="AN28" s="523"/>
      <c r="AO28" s="523"/>
      <c r="AP28" s="523"/>
      <c r="AQ28" s="514"/>
      <c r="AR28" s="515"/>
      <c r="AS28" s="514"/>
      <c r="AT28" s="515"/>
      <c r="AU28" s="514"/>
      <c r="AV28" s="515"/>
      <c r="AW28" s="514"/>
      <c r="AX28" s="515"/>
      <c r="AY28" s="514"/>
    </row>
    <row r="29" spans="2:51" ht="15.75" x14ac:dyDescent="0.25">
      <c r="B29" s="4"/>
      <c r="V29" s="4"/>
      <c r="W29" s="5"/>
      <c r="X29" s="572">
        <v>1</v>
      </c>
      <c r="Y29" s="574" t="s">
        <v>32</v>
      </c>
      <c r="Z29" s="520" t="s">
        <v>164</v>
      </c>
      <c r="AA29" s="521" t="s">
        <v>165</v>
      </c>
      <c r="AB29" s="520" t="s">
        <v>165</v>
      </c>
      <c r="AC29" s="520" t="s">
        <v>165</v>
      </c>
      <c r="AD29" s="521" t="s">
        <v>166</v>
      </c>
      <c r="AE29" s="522" t="s">
        <v>167</v>
      </c>
      <c r="AF29" s="534">
        <v>45933</v>
      </c>
      <c r="AG29" s="530" t="s">
        <v>168</v>
      </c>
      <c r="AH29" s="530" t="s">
        <v>169</v>
      </c>
      <c r="AI29" s="531">
        <v>45934</v>
      </c>
      <c r="AJ29" s="524"/>
      <c r="AK29" s="525"/>
      <c r="AL29" s="526"/>
      <c r="AM29" s="525"/>
      <c r="AN29" s="523"/>
      <c r="AO29" s="523"/>
      <c r="AP29" s="523"/>
      <c r="AQ29" s="514"/>
      <c r="AR29" s="515"/>
      <c r="AS29" s="514"/>
      <c r="AT29" s="515"/>
      <c r="AU29" s="514"/>
      <c r="AV29" s="515"/>
      <c r="AW29" s="514"/>
      <c r="AX29" s="515"/>
      <c r="AY29" s="514"/>
    </row>
    <row r="30" spans="2:51" ht="15.75" x14ac:dyDescent="0.25">
      <c r="B30" s="4"/>
      <c r="V30" s="4"/>
      <c r="W30" s="5"/>
      <c r="X30" s="572"/>
      <c r="Y30" s="574"/>
      <c r="Z30" s="520" t="s">
        <v>170</v>
      </c>
      <c r="AA30" s="521" t="s">
        <v>165</v>
      </c>
      <c r="AB30" s="520" t="s">
        <v>165</v>
      </c>
      <c r="AC30" s="520" t="s">
        <v>165</v>
      </c>
      <c r="AD30" s="521" t="s">
        <v>171</v>
      </c>
      <c r="AE30" s="522" t="s">
        <v>172</v>
      </c>
      <c r="AF30" s="534">
        <v>45933</v>
      </c>
      <c r="AG30" s="530" t="s">
        <v>168</v>
      </c>
      <c r="AH30" s="530" t="s">
        <v>173</v>
      </c>
      <c r="AI30" s="531">
        <v>45934</v>
      </c>
      <c r="AJ30" s="524"/>
      <c r="AK30" s="525"/>
      <c r="AL30" s="526"/>
      <c r="AM30" s="525"/>
      <c r="AN30" s="526"/>
      <c r="AO30" s="525"/>
      <c r="AP30" s="526"/>
      <c r="AQ30" s="516"/>
      <c r="AR30" s="516"/>
      <c r="AS30" s="516"/>
      <c r="AT30" s="516"/>
      <c r="AU30" s="516"/>
      <c r="AV30" s="516"/>
      <c r="AW30" s="516"/>
      <c r="AX30" s="516"/>
      <c r="AY30" s="516"/>
    </row>
    <row r="31" spans="2:51" ht="15.75" x14ac:dyDescent="0.25">
      <c r="B31" s="4"/>
      <c r="V31" s="4"/>
      <c r="W31" s="5"/>
      <c r="X31" s="572"/>
      <c r="Y31" s="574"/>
      <c r="Z31" s="520" t="s">
        <v>174</v>
      </c>
      <c r="AA31" s="521" t="s">
        <v>165</v>
      </c>
      <c r="AB31" s="520" t="s">
        <v>165</v>
      </c>
      <c r="AC31" s="520" t="s">
        <v>165</v>
      </c>
      <c r="AD31" s="521" t="s">
        <v>171</v>
      </c>
      <c r="AE31" s="522" t="s">
        <v>175</v>
      </c>
      <c r="AF31" s="534">
        <v>45933</v>
      </c>
      <c r="AG31" s="530" t="s">
        <v>176</v>
      </c>
      <c r="AH31" s="530" t="s">
        <v>177</v>
      </c>
      <c r="AI31" s="531">
        <v>45934</v>
      </c>
      <c r="AJ31" s="524"/>
      <c r="AK31" s="525"/>
      <c r="AL31" s="526"/>
      <c r="AM31" s="525"/>
      <c r="AN31" s="526"/>
      <c r="AO31" s="525"/>
      <c r="AP31" s="526"/>
    </row>
    <row r="32" spans="2:51" ht="15.75" x14ac:dyDescent="0.25">
      <c r="B32" s="4"/>
      <c r="V32" s="4"/>
      <c r="W32" s="5"/>
      <c r="X32" s="578">
        <v>2</v>
      </c>
      <c r="Y32" s="577" t="s">
        <v>37</v>
      </c>
      <c r="Z32" s="520" t="s">
        <v>164</v>
      </c>
      <c r="AA32" s="521" t="s">
        <v>165</v>
      </c>
      <c r="AB32" s="520" t="s">
        <v>165</v>
      </c>
      <c r="AC32" s="520" t="s">
        <v>165</v>
      </c>
      <c r="AD32" s="521" t="s">
        <v>171</v>
      </c>
      <c r="AE32" s="522" t="s">
        <v>178</v>
      </c>
      <c r="AF32" s="534">
        <v>45933</v>
      </c>
      <c r="AG32" s="530" t="s">
        <v>168</v>
      </c>
      <c r="AH32" s="530" t="s">
        <v>179</v>
      </c>
      <c r="AI32" s="531">
        <v>45934</v>
      </c>
      <c r="AJ32" s="524"/>
      <c r="AK32" s="525"/>
      <c r="AL32" s="526"/>
      <c r="AM32" s="525"/>
      <c r="AN32" s="526"/>
      <c r="AO32" s="525"/>
      <c r="AP32" s="526"/>
    </row>
    <row r="33" spans="1:42" ht="15.75" x14ac:dyDescent="0.25">
      <c r="B33" s="4"/>
      <c r="V33" s="4"/>
      <c r="W33" s="5"/>
      <c r="X33" s="572"/>
      <c r="Y33" s="574"/>
      <c r="Z33" s="520" t="s">
        <v>170</v>
      </c>
      <c r="AA33" s="521" t="s">
        <v>165</v>
      </c>
      <c r="AB33" s="520" t="s">
        <v>165</v>
      </c>
      <c r="AC33" s="520" t="s">
        <v>165</v>
      </c>
      <c r="AD33" s="521" t="s">
        <v>171</v>
      </c>
      <c r="AE33" s="522" t="s">
        <v>180</v>
      </c>
      <c r="AF33" s="535" t="s">
        <v>181</v>
      </c>
      <c r="AG33" s="530" t="s">
        <v>176</v>
      </c>
      <c r="AH33" s="530" t="s">
        <v>182</v>
      </c>
      <c r="AI33" s="531">
        <v>45934</v>
      </c>
      <c r="AJ33" s="524"/>
      <c r="AK33" s="525"/>
      <c r="AL33" s="526"/>
      <c r="AM33" s="525"/>
      <c r="AN33" s="526"/>
      <c r="AO33" s="525"/>
      <c r="AP33" s="526"/>
    </row>
    <row r="34" spans="1:42" ht="15.75" x14ac:dyDescent="0.25">
      <c r="B34" s="4"/>
      <c r="V34" s="4"/>
      <c r="W34" s="5"/>
      <c r="X34" s="572"/>
      <c r="Y34" s="574"/>
      <c r="Z34" s="520" t="s">
        <v>174</v>
      </c>
      <c r="AA34" s="521" t="s">
        <v>165</v>
      </c>
      <c r="AB34" s="520" t="s">
        <v>165</v>
      </c>
      <c r="AC34" s="520" t="s">
        <v>165</v>
      </c>
      <c r="AD34" s="521" t="s">
        <v>171</v>
      </c>
      <c r="AE34" s="522" t="s">
        <v>183</v>
      </c>
      <c r="AF34" s="534">
        <v>45933</v>
      </c>
      <c r="AG34" s="530" t="s">
        <v>176</v>
      </c>
      <c r="AH34" s="530" t="s">
        <v>184</v>
      </c>
      <c r="AI34" s="531">
        <v>45934</v>
      </c>
      <c r="AJ34" s="524"/>
      <c r="AK34" s="525"/>
      <c r="AL34" s="526"/>
      <c r="AM34" s="525"/>
      <c r="AN34" s="526"/>
      <c r="AO34" s="525"/>
      <c r="AP34" s="526"/>
    </row>
    <row r="35" spans="1:42" ht="15.75" x14ac:dyDescent="0.25">
      <c r="B35" s="4"/>
      <c r="V35" s="4"/>
      <c r="W35" s="5"/>
      <c r="X35" s="578">
        <v>3</v>
      </c>
      <c r="Y35" s="577" t="s">
        <v>43</v>
      </c>
      <c r="Z35" s="520" t="s">
        <v>164</v>
      </c>
      <c r="AA35" s="521" t="s">
        <v>165</v>
      </c>
      <c r="AB35" s="520" t="s">
        <v>165</v>
      </c>
      <c r="AC35" s="520" t="s">
        <v>165</v>
      </c>
      <c r="AD35" s="521" t="s">
        <v>166</v>
      </c>
      <c r="AE35" s="522" t="s">
        <v>185</v>
      </c>
      <c r="AF35" s="534">
        <v>45933</v>
      </c>
      <c r="AG35" s="530" t="s">
        <v>181</v>
      </c>
      <c r="AH35" s="530" t="s">
        <v>186</v>
      </c>
      <c r="AI35" s="531">
        <v>45934</v>
      </c>
      <c r="AJ35" s="524"/>
      <c r="AK35" s="525"/>
      <c r="AL35" s="526"/>
      <c r="AM35" s="525"/>
      <c r="AN35" s="526"/>
      <c r="AO35" s="525"/>
      <c r="AP35" s="526"/>
    </row>
    <row r="36" spans="1:42" ht="15.75" x14ac:dyDescent="0.25">
      <c r="B36" s="4"/>
      <c r="V36" s="4"/>
      <c r="W36" s="5"/>
      <c r="X36" s="572"/>
      <c r="Y36" s="574"/>
      <c r="Z36" s="520" t="s">
        <v>187</v>
      </c>
      <c r="AA36" s="521" t="s">
        <v>165</v>
      </c>
      <c r="AB36" s="520" t="s">
        <v>165</v>
      </c>
      <c r="AC36" s="520" t="s">
        <v>165</v>
      </c>
      <c r="AD36" s="521" t="s">
        <v>166</v>
      </c>
      <c r="AE36" s="522" t="s">
        <v>188</v>
      </c>
      <c r="AF36" s="534">
        <v>45933</v>
      </c>
      <c r="AG36" s="530" t="s">
        <v>189</v>
      </c>
      <c r="AH36" s="530" t="s">
        <v>190</v>
      </c>
      <c r="AI36" s="531">
        <v>45934</v>
      </c>
      <c r="AJ36" s="524"/>
      <c r="AK36" s="525"/>
      <c r="AL36" s="526"/>
      <c r="AM36" s="525"/>
      <c r="AN36" s="526"/>
      <c r="AO36" s="525"/>
      <c r="AP36" s="526"/>
    </row>
    <row r="37" spans="1:42" ht="15.75" x14ac:dyDescent="0.25">
      <c r="B37" s="4"/>
      <c r="V37" s="3"/>
      <c r="X37" s="573"/>
      <c r="Y37" s="575"/>
      <c r="Z37" s="520" t="s">
        <v>170</v>
      </c>
      <c r="AA37" s="521" t="s">
        <v>165</v>
      </c>
      <c r="AB37" s="520" t="s">
        <v>165</v>
      </c>
      <c r="AC37" s="520" t="s">
        <v>165</v>
      </c>
      <c r="AD37" s="521" t="s">
        <v>171</v>
      </c>
      <c r="AE37" s="522" t="s">
        <v>191</v>
      </c>
      <c r="AF37" s="534">
        <v>45933</v>
      </c>
      <c r="AG37" s="530" t="s">
        <v>176</v>
      </c>
      <c r="AH37" s="530" t="s">
        <v>192</v>
      </c>
      <c r="AI37" s="531">
        <v>45934</v>
      </c>
      <c r="AJ37" s="524"/>
      <c r="AK37" s="525"/>
      <c r="AL37" s="526"/>
      <c r="AM37" s="525"/>
      <c r="AN37" s="526"/>
      <c r="AO37" s="525"/>
      <c r="AP37" s="526"/>
    </row>
    <row r="38" spans="1:42" ht="15.75" x14ac:dyDescent="0.25">
      <c r="B38" s="4"/>
      <c r="V38" s="3"/>
      <c r="X38" s="572">
        <v>4</v>
      </c>
      <c r="Y38" s="574" t="s">
        <v>48</v>
      </c>
      <c r="Z38" s="520" t="s">
        <v>164</v>
      </c>
      <c r="AA38" s="521" t="s">
        <v>165</v>
      </c>
      <c r="AB38" s="520" t="s">
        <v>165</v>
      </c>
      <c r="AC38" s="520" t="s">
        <v>165</v>
      </c>
      <c r="AD38" s="521" t="s">
        <v>166</v>
      </c>
      <c r="AE38" s="522" t="s">
        <v>193</v>
      </c>
      <c r="AF38" s="534">
        <v>45933</v>
      </c>
      <c r="AG38" s="530" t="s">
        <v>181</v>
      </c>
      <c r="AH38" s="530" t="s">
        <v>194</v>
      </c>
      <c r="AI38" s="531">
        <v>45934</v>
      </c>
      <c r="AJ38" s="524"/>
      <c r="AK38" s="525"/>
      <c r="AL38" s="526"/>
      <c r="AM38" s="525"/>
      <c r="AN38" s="526"/>
      <c r="AO38" s="525"/>
      <c r="AP38" s="526"/>
    </row>
    <row r="39" spans="1:42" ht="15.75" x14ac:dyDescent="0.25">
      <c r="B39" s="4"/>
      <c r="V39" s="3"/>
      <c r="X39" s="572"/>
      <c r="Y39" s="574"/>
      <c r="Z39" s="520" t="s">
        <v>187</v>
      </c>
      <c r="AA39" s="521" t="s">
        <v>165</v>
      </c>
      <c r="AB39" s="520" t="s">
        <v>165</v>
      </c>
      <c r="AC39" s="520" t="s">
        <v>165</v>
      </c>
      <c r="AD39" s="521" t="s">
        <v>166</v>
      </c>
      <c r="AE39" s="522" t="s">
        <v>195</v>
      </c>
      <c r="AF39" s="534">
        <v>45933</v>
      </c>
      <c r="AG39" s="530" t="s">
        <v>189</v>
      </c>
      <c r="AH39" s="530" t="s">
        <v>196</v>
      </c>
      <c r="AI39" s="531">
        <v>45934</v>
      </c>
      <c r="AJ39" s="524"/>
      <c r="AK39" s="525"/>
      <c r="AL39" s="526"/>
      <c r="AM39" s="525"/>
      <c r="AN39" s="526"/>
      <c r="AO39" s="525"/>
      <c r="AP39" s="526"/>
    </row>
    <row r="40" spans="1:42" ht="15.75" x14ac:dyDescent="0.25">
      <c r="B40" s="4"/>
      <c r="V40" s="3"/>
      <c r="X40" s="573"/>
      <c r="Y40" s="574"/>
      <c r="Z40" s="520" t="s">
        <v>170</v>
      </c>
      <c r="AA40" s="521" t="s">
        <v>165</v>
      </c>
      <c r="AB40" s="520" t="s">
        <v>165</v>
      </c>
      <c r="AC40" s="520" t="s">
        <v>165</v>
      </c>
      <c r="AD40" s="521" t="s">
        <v>171</v>
      </c>
      <c r="AE40" s="522" t="s">
        <v>197</v>
      </c>
      <c r="AF40" s="534">
        <v>45933</v>
      </c>
      <c r="AG40" s="530" t="s">
        <v>168</v>
      </c>
      <c r="AH40" s="530" t="s">
        <v>198</v>
      </c>
      <c r="AI40" s="531">
        <v>45934</v>
      </c>
      <c r="AJ40" s="524"/>
      <c r="AK40" s="525"/>
      <c r="AL40" s="526"/>
      <c r="AM40" s="525"/>
      <c r="AN40" s="526"/>
      <c r="AO40" s="525"/>
      <c r="AP40" s="526"/>
    </row>
    <row r="41" spans="1:42" ht="15.75" x14ac:dyDescent="0.25">
      <c r="V41" s="3"/>
      <c r="X41" s="572">
        <v>5</v>
      </c>
      <c r="Y41" s="577" t="s">
        <v>52</v>
      </c>
      <c r="Z41" s="520" t="s">
        <v>164</v>
      </c>
      <c r="AA41" s="521" t="s">
        <v>165</v>
      </c>
      <c r="AB41" s="520" t="s">
        <v>165</v>
      </c>
      <c r="AC41" s="520" t="s">
        <v>165</v>
      </c>
      <c r="AD41" s="521" t="s">
        <v>166</v>
      </c>
      <c r="AE41" s="522" t="s">
        <v>199</v>
      </c>
      <c r="AF41" s="534">
        <v>45933</v>
      </c>
      <c r="AG41" s="530" t="s">
        <v>181</v>
      </c>
      <c r="AH41" s="530" t="s">
        <v>200</v>
      </c>
      <c r="AI41" s="531">
        <v>45934</v>
      </c>
      <c r="AJ41" s="524"/>
      <c r="AK41" s="525"/>
      <c r="AL41" s="526"/>
      <c r="AM41" s="525"/>
      <c r="AN41" s="526"/>
      <c r="AO41" s="525"/>
      <c r="AP41" s="526"/>
    </row>
    <row r="42" spans="1:42" ht="15.75" x14ac:dyDescent="0.25">
      <c r="V42" s="3"/>
      <c r="X42" s="572"/>
      <c r="Y42" s="574"/>
      <c r="Z42" s="520" t="s">
        <v>187</v>
      </c>
      <c r="AA42" s="521" t="s">
        <v>165</v>
      </c>
      <c r="AB42" s="520" t="s">
        <v>165</v>
      </c>
      <c r="AC42" s="520" t="s">
        <v>165</v>
      </c>
      <c r="AD42" s="521" t="s">
        <v>166</v>
      </c>
      <c r="AE42" s="522" t="s">
        <v>201</v>
      </c>
      <c r="AF42" s="534">
        <v>45933</v>
      </c>
      <c r="AG42" s="530" t="s">
        <v>181</v>
      </c>
      <c r="AH42" s="530" t="s">
        <v>202</v>
      </c>
      <c r="AI42" s="531">
        <v>45934</v>
      </c>
      <c r="AJ42" s="524"/>
      <c r="AK42" s="525"/>
      <c r="AL42" s="526"/>
      <c r="AM42" s="525"/>
      <c r="AN42" s="526"/>
      <c r="AO42" s="525"/>
      <c r="AP42" s="526"/>
    </row>
    <row r="43" spans="1:42" ht="15.75" x14ac:dyDescent="0.25">
      <c r="V43" s="3"/>
      <c r="X43" s="572"/>
      <c r="Y43" s="574"/>
      <c r="Z43" s="520" t="s">
        <v>170</v>
      </c>
      <c r="AA43" s="521" t="s">
        <v>165</v>
      </c>
      <c r="AB43" s="520" t="s">
        <v>165</v>
      </c>
      <c r="AC43" s="520" t="s">
        <v>165</v>
      </c>
      <c r="AD43" s="521" t="s">
        <v>171</v>
      </c>
      <c r="AE43" s="522" t="s">
        <v>203</v>
      </c>
      <c r="AF43" s="534">
        <v>45933</v>
      </c>
      <c r="AG43" s="530" t="s">
        <v>168</v>
      </c>
      <c r="AH43" s="530" t="s">
        <v>204</v>
      </c>
      <c r="AI43" s="531">
        <v>45934</v>
      </c>
      <c r="AJ43" s="524"/>
      <c r="AK43" s="525"/>
      <c r="AL43" s="526"/>
      <c r="AM43" s="525"/>
      <c r="AN43" s="526"/>
      <c r="AO43" s="525"/>
      <c r="AP43" s="526"/>
    </row>
    <row r="44" spans="1:42" ht="15.75" x14ac:dyDescent="0.25">
      <c r="V44" s="3"/>
      <c r="X44" s="578">
        <v>6</v>
      </c>
      <c r="Y44" s="577" t="s">
        <v>55</v>
      </c>
      <c r="Z44" s="520" t="s">
        <v>164</v>
      </c>
      <c r="AA44" s="521" t="s">
        <v>165</v>
      </c>
      <c r="AB44" s="520" t="s">
        <v>165</v>
      </c>
      <c r="AC44" s="520" t="s">
        <v>165</v>
      </c>
      <c r="AD44" s="521" t="s">
        <v>166</v>
      </c>
      <c r="AE44" s="522" t="s">
        <v>205</v>
      </c>
      <c r="AF44" s="534">
        <v>45933</v>
      </c>
      <c r="AG44" s="530" t="s">
        <v>189</v>
      </c>
      <c r="AH44" s="530" t="s">
        <v>206</v>
      </c>
      <c r="AI44" s="531">
        <v>45934</v>
      </c>
      <c r="AJ44" s="524"/>
      <c r="AK44" s="525"/>
      <c r="AL44" s="526"/>
      <c r="AM44" s="525"/>
      <c r="AN44" s="526"/>
      <c r="AO44" s="525"/>
      <c r="AP44" s="526"/>
    </row>
    <row r="45" spans="1:42" ht="16.5" customHeight="1" x14ac:dyDescent="0.25">
      <c r="A45" s="554" t="s">
        <v>207</v>
      </c>
      <c r="B45" s="548" t="s">
        <v>208</v>
      </c>
      <c r="C45" s="548" t="s">
        <v>209</v>
      </c>
      <c r="D45" s="548" t="s">
        <v>210</v>
      </c>
      <c r="E45" s="548" t="s">
        <v>211</v>
      </c>
      <c r="F45" s="548" t="s">
        <v>212</v>
      </c>
      <c r="V45" s="3"/>
      <c r="X45" s="572"/>
      <c r="Y45" s="574"/>
      <c r="Z45" s="520" t="s">
        <v>187</v>
      </c>
      <c r="AA45" s="521" t="s">
        <v>165</v>
      </c>
      <c r="AB45" s="520" t="s">
        <v>165</v>
      </c>
      <c r="AC45" s="520" t="s">
        <v>165</v>
      </c>
      <c r="AD45" s="521" t="s">
        <v>166</v>
      </c>
      <c r="AE45" s="522" t="s">
        <v>213</v>
      </c>
      <c r="AF45" s="534">
        <v>45933</v>
      </c>
      <c r="AG45" s="530" t="s">
        <v>189</v>
      </c>
      <c r="AH45" s="530" t="s">
        <v>214</v>
      </c>
      <c r="AI45" s="531">
        <v>45934</v>
      </c>
      <c r="AJ45" s="524"/>
      <c r="AK45" s="525"/>
      <c r="AL45" s="526"/>
      <c r="AM45" s="525"/>
      <c r="AN45" s="526"/>
      <c r="AO45" s="525"/>
      <c r="AP45" s="526"/>
    </row>
    <row r="46" spans="1:42" ht="16.5" customHeight="1" x14ac:dyDescent="0.25">
      <c r="A46" s="555">
        <v>1</v>
      </c>
      <c r="B46" s="549" t="s">
        <v>32</v>
      </c>
      <c r="C46" s="557">
        <v>7949940167</v>
      </c>
      <c r="D46" s="557">
        <v>6837970086</v>
      </c>
      <c r="E46" s="558">
        <v>8819225013</v>
      </c>
      <c r="F46" s="558">
        <v>9186876536</v>
      </c>
      <c r="V46" s="3"/>
      <c r="X46" s="572"/>
      <c r="Y46" s="575"/>
      <c r="Z46" s="520" t="s">
        <v>170</v>
      </c>
      <c r="AA46" s="521" t="s">
        <v>165</v>
      </c>
      <c r="AB46" s="520" t="s">
        <v>165</v>
      </c>
      <c r="AC46" s="520" t="s">
        <v>165</v>
      </c>
      <c r="AD46" s="521" t="s">
        <v>171</v>
      </c>
      <c r="AE46" s="522" t="s">
        <v>215</v>
      </c>
      <c r="AF46" s="534">
        <v>45933</v>
      </c>
      <c r="AG46" s="530" t="s">
        <v>168</v>
      </c>
      <c r="AH46" s="530" t="s">
        <v>216</v>
      </c>
      <c r="AI46" s="531">
        <v>45934</v>
      </c>
      <c r="AJ46" s="524"/>
      <c r="AK46" s="525"/>
      <c r="AL46" s="526"/>
      <c r="AM46" s="525"/>
      <c r="AN46" s="526"/>
      <c r="AO46" s="525"/>
      <c r="AP46" s="526"/>
    </row>
    <row r="47" spans="1:42" ht="16.5" customHeight="1" x14ac:dyDescent="0.25">
      <c r="A47" s="555">
        <v>2</v>
      </c>
      <c r="B47" s="551" t="s">
        <v>37</v>
      </c>
      <c r="C47" s="557">
        <v>9678694225</v>
      </c>
      <c r="D47" s="557">
        <v>9733344130</v>
      </c>
      <c r="E47" s="557">
        <v>11238346777</v>
      </c>
      <c r="F47" s="558">
        <v>11791835977</v>
      </c>
      <c r="V47" s="3"/>
      <c r="X47" s="578">
        <v>7</v>
      </c>
      <c r="Y47" s="574" t="s">
        <v>58</v>
      </c>
      <c r="Z47" s="520" t="s">
        <v>164</v>
      </c>
      <c r="AA47" s="521" t="s">
        <v>165</v>
      </c>
      <c r="AB47" s="520" t="s">
        <v>165</v>
      </c>
      <c r="AC47" s="520" t="s">
        <v>165</v>
      </c>
      <c r="AD47" s="521" t="s">
        <v>166</v>
      </c>
      <c r="AE47" s="522" t="s">
        <v>217</v>
      </c>
      <c r="AF47" s="534">
        <v>45933</v>
      </c>
      <c r="AG47" s="530" t="s">
        <v>181</v>
      </c>
      <c r="AH47" s="530" t="s">
        <v>218</v>
      </c>
      <c r="AI47" s="531">
        <v>45934</v>
      </c>
      <c r="AJ47" s="524"/>
      <c r="AK47" s="525"/>
      <c r="AL47" s="526"/>
      <c r="AM47" s="525"/>
      <c r="AN47" s="526"/>
      <c r="AO47" s="525"/>
      <c r="AP47" s="526"/>
    </row>
    <row r="48" spans="1:42" ht="16.5" customHeight="1" x14ac:dyDescent="0.25">
      <c r="A48" s="555">
        <v>3</v>
      </c>
      <c r="B48" s="552" t="s">
        <v>43</v>
      </c>
      <c r="C48" s="557">
        <v>8200460341</v>
      </c>
      <c r="D48" s="557">
        <v>7934582271</v>
      </c>
      <c r="E48" s="558">
        <v>8575051185</v>
      </c>
      <c r="F48" s="558">
        <v>7933197764</v>
      </c>
      <c r="V48" s="3"/>
      <c r="X48" s="573"/>
      <c r="Y48" s="575"/>
      <c r="Z48" s="520" t="s">
        <v>170</v>
      </c>
      <c r="AA48" s="521" t="s">
        <v>165</v>
      </c>
      <c r="AB48" s="520" t="s">
        <v>165</v>
      </c>
      <c r="AC48" s="520" t="s">
        <v>165</v>
      </c>
      <c r="AD48" s="521" t="s">
        <v>171</v>
      </c>
      <c r="AE48" s="522" t="s">
        <v>219</v>
      </c>
      <c r="AF48" s="534">
        <v>45933</v>
      </c>
      <c r="AG48" s="530" t="s">
        <v>168</v>
      </c>
      <c r="AH48" s="530" t="s">
        <v>220</v>
      </c>
      <c r="AI48" s="531">
        <v>45934</v>
      </c>
      <c r="AJ48" s="524"/>
      <c r="AK48" s="525"/>
      <c r="AL48" s="526"/>
      <c r="AM48" s="525"/>
      <c r="AN48" s="526"/>
      <c r="AO48" s="525"/>
      <c r="AP48" s="526"/>
    </row>
    <row r="49" spans="1:42" ht="16.5" customHeight="1" x14ac:dyDescent="0.25">
      <c r="A49" s="555">
        <v>4</v>
      </c>
      <c r="B49" s="549" t="s">
        <v>48</v>
      </c>
      <c r="C49" s="557">
        <v>7682946670</v>
      </c>
      <c r="D49" s="557">
        <v>9423391922</v>
      </c>
      <c r="E49" s="558">
        <v>9412209732</v>
      </c>
      <c r="F49" s="558">
        <v>9356876227</v>
      </c>
      <c r="V49" s="3"/>
      <c r="X49" s="572">
        <v>8</v>
      </c>
      <c r="Y49" s="574" t="s">
        <v>60</v>
      </c>
      <c r="Z49" s="520" t="s">
        <v>164</v>
      </c>
      <c r="AA49" s="521" t="s">
        <v>165</v>
      </c>
      <c r="AB49" s="520" t="s">
        <v>165</v>
      </c>
      <c r="AC49" s="520" t="s">
        <v>165</v>
      </c>
      <c r="AD49" s="521" t="s">
        <v>166</v>
      </c>
      <c r="AE49" s="522" t="s">
        <v>221</v>
      </c>
      <c r="AF49" s="534">
        <v>45933</v>
      </c>
      <c r="AG49" s="530" t="s">
        <v>181</v>
      </c>
      <c r="AH49" s="530" t="s">
        <v>222</v>
      </c>
      <c r="AI49" s="531" t="s">
        <v>223</v>
      </c>
      <c r="AJ49" s="524"/>
      <c r="AK49" s="525"/>
      <c r="AL49" s="526"/>
      <c r="AM49" s="525"/>
      <c r="AN49" s="526"/>
      <c r="AO49" s="525"/>
      <c r="AP49" s="526"/>
    </row>
    <row r="50" spans="1:42" ht="16.5" customHeight="1" x14ac:dyDescent="0.25">
      <c r="A50" s="555">
        <v>5</v>
      </c>
      <c r="B50" s="551" t="s">
        <v>52</v>
      </c>
      <c r="C50" s="557">
        <v>8505524322</v>
      </c>
      <c r="D50" s="557">
        <v>6509559377</v>
      </c>
      <c r="E50" s="558">
        <v>6039872572</v>
      </c>
      <c r="F50" s="558">
        <v>6268726420</v>
      </c>
      <c r="V50" s="3"/>
      <c r="X50" s="573"/>
      <c r="Y50" s="575"/>
      <c r="Z50" s="520" t="s">
        <v>170</v>
      </c>
      <c r="AA50" s="521" t="s">
        <v>165</v>
      </c>
      <c r="AB50" s="520" t="s">
        <v>165</v>
      </c>
      <c r="AC50" s="520" t="s">
        <v>165</v>
      </c>
      <c r="AD50" s="521" t="s">
        <v>166</v>
      </c>
      <c r="AE50" s="522" t="s">
        <v>224</v>
      </c>
      <c r="AF50" s="534">
        <v>45933</v>
      </c>
      <c r="AG50" s="530" t="s">
        <v>181</v>
      </c>
      <c r="AH50" s="532" t="s">
        <v>225</v>
      </c>
      <c r="AI50" s="531" t="s">
        <v>223</v>
      </c>
      <c r="AJ50" s="524"/>
      <c r="AK50" s="525"/>
      <c r="AL50" s="526"/>
      <c r="AM50" s="525"/>
      <c r="AN50" s="526"/>
      <c r="AO50" s="525"/>
      <c r="AP50" s="526"/>
    </row>
    <row r="51" spans="1:42" ht="16.5" customHeight="1" x14ac:dyDescent="0.25">
      <c r="A51" s="555">
        <v>6</v>
      </c>
      <c r="B51" s="552" t="s">
        <v>55</v>
      </c>
      <c r="C51" s="557">
        <v>9792387430</v>
      </c>
      <c r="D51" s="557">
        <v>11532235359</v>
      </c>
      <c r="E51" s="558">
        <v>11919318851</v>
      </c>
      <c r="F51" s="558">
        <v>11775669609</v>
      </c>
      <c r="V51" s="3"/>
      <c r="X51" s="572">
        <v>9</v>
      </c>
      <c r="Y51" s="572" t="s">
        <v>62</v>
      </c>
      <c r="Z51" s="520" t="s">
        <v>164</v>
      </c>
      <c r="AA51" s="521" t="s">
        <v>165</v>
      </c>
      <c r="AB51" s="520" t="s">
        <v>165</v>
      </c>
      <c r="AC51" s="520" t="s">
        <v>165</v>
      </c>
      <c r="AD51" s="521" t="s">
        <v>166</v>
      </c>
      <c r="AE51" s="522" t="s">
        <v>226</v>
      </c>
      <c r="AF51" s="534">
        <v>45933</v>
      </c>
      <c r="AG51" s="530" t="s">
        <v>181</v>
      </c>
      <c r="AH51" s="530" t="s">
        <v>227</v>
      </c>
      <c r="AI51" s="531">
        <v>45934</v>
      </c>
      <c r="AJ51" s="524"/>
      <c r="AK51" s="525"/>
      <c r="AL51" s="526"/>
      <c r="AM51" s="525"/>
      <c r="AN51" s="526"/>
      <c r="AO51" s="525"/>
      <c r="AP51" s="526"/>
    </row>
    <row r="52" spans="1:42" ht="16.5" customHeight="1" x14ac:dyDescent="0.25">
      <c r="A52" s="555">
        <v>7</v>
      </c>
      <c r="B52" s="550" t="s">
        <v>58</v>
      </c>
      <c r="C52" s="557">
        <v>5030210674</v>
      </c>
      <c r="D52" s="557">
        <v>3505554595</v>
      </c>
      <c r="E52" s="558">
        <v>3243696061</v>
      </c>
      <c r="F52" s="558">
        <v>3191814957</v>
      </c>
      <c r="V52" s="3"/>
      <c r="X52" s="572"/>
      <c r="Y52" s="572"/>
      <c r="Z52" s="542" t="s">
        <v>174</v>
      </c>
      <c r="AA52" s="543" t="s">
        <v>165</v>
      </c>
      <c r="AB52" s="542" t="s">
        <v>165</v>
      </c>
      <c r="AC52" s="542" t="s">
        <v>165</v>
      </c>
      <c r="AD52" s="543" t="s">
        <v>171</v>
      </c>
      <c r="AE52" s="544" t="s">
        <v>228</v>
      </c>
      <c r="AF52" s="545">
        <v>45933</v>
      </c>
      <c r="AG52" s="546" t="s">
        <v>168</v>
      </c>
      <c r="AH52" s="546" t="s">
        <v>229</v>
      </c>
      <c r="AI52" s="547">
        <v>45934</v>
      </c>
      <c r="AJ52" s="524"/>
      <c r="AK52" s="525"/>
      <c r="AL52" s="526"/>
      <c r="AM52" s="525"/>
      <c r="AN52" s="526"/>
      <c r="AO52" s="525"/>
      <c r="AP52" s="526"/>
    </row>
    <row r="53" spans="1:42" ht="16.5" customHeight="1" x14ac:dyDescent="0.25">
      <c r="A53" s="555">
        <v>8</v>
      </c>
      <c r="B53" s="550" t="s">
        <v>60</v>
      </c>
      <c r="C53" s="557">
        <v>1403795206</v>
      </c>
      <c r="D53" s="557">
        <v>2008162478</v>
      </c>
      <c r="E53" s="558">
        <v>1942865161</v>
      </c>
      <c r="F53" s="558">
        <v>2167489268</v>
      </c>
      <c r="V53" s="3"/>
      <c r="X53" s="540">
        <v>9</v>
      </c>
      <c r="Y53" s="541" t="s">
        <v>64</v>
      </c>
      <c r="Z53" s="541" t="s">
        <v>164</v>
      </c>
      <c r="AA53" s="530" t="s">
        <v>165</v>
      </c>
      <c r="AB53" s="541" t="s">
        <v>165</v>
      </c>
      <c r="AC53" s="541" t="s">
        <v>165</v>
      </c>
      <c r="AD53" s="530" t="s">
        <v>189</v>
      </c>
      <c r="AE53" s="530" t="s">
        <v>230</v>
      </c>
      <c r="AF53" s="531">
        <v>45934</v>
      </c>
      <c r="AG53" s="530" t="s">
        <v>181</v>
      </c>
      <c r="AH53" s="530" t="s">
        <v>231</v>
      </c>
      <c r="AI53" s="531">
        <v>45934</v>
      </c>
      <c r="AJ53" s="524"/>
      <c r="AK53" s="525"/>
      <c r="AL53" s="526"/>
      <c r="AM53" s="525"/>
      <c r="AN53" s="526"/>
      <c r="AO53" s="525"/>
      <c r="AP53" s="526"/>
    </row>
    <row r="54" spans="1:42" ht="16.5" customHeight="1" x14ac:dyDescent="0.25">
      <c r="A54" s="555">
        <v>9</v>
      </c>
      <c r="B54" s="550" t="s">
        <v>62</v>
      </c>
      <c r="C54" s="557">
        <v>657359600</v>
      </c>
      <c r="D54" s="557">
        <v>618902422</v>
      </c>
      <c r="E54" s="558">
        <v>630244562</v>
      </c>
      <c r="F54" s="558">
        <v>656530960</v>
      </c>
      <c r="V54" s="3"/>
      <c r="X54" s="576" t="s">
        <v>232</v>
      </c>
      <c r="Y54" s="576"/>
      <c r="Z54" s="533" t="s">
        <v>165</v>
      </c>
      <c r="AA54" s="533" t="s">
        <v>165</v>
      </c>
      <c r="AB54" s="533" t="s">
        <v>165</v>
      </c>
      <c r="AC54" s="533" t="s">
        <v>165</v>
      </c>
      <c r="AD54" s="533" t="s">
        <v>165</v>
      </c>
      <c r="AE54" s="533" t="s">
        <v>233</v>
      </c>
      <c r="AF54" s="533" t="s">
        <v>165</v>
      </c>
      <c r="AG54" s="533" t="s">
        <v>165</v>
      </c>
      <c r="AH54" s="533" t="s">
        <v>234</v>
      </c>
      <c r="AI54" s="533" t="s">
        <v>165</v>
      </c>
      <c r="AJ54" s="524"/>
      <c r="AK54" s="525"/>
      <c r="AL54" s="526"/>
      <c r="AM54" s="525"/>
      <c r="AN54" s="526"/>
      <c r="AO54" s="525"/>
      <c r="AP54" s="526"/>
    </row>
    <row r="55" spans="1:42" ht="16.5" customHeight="1" x14ac:dyDescent="0.25">
      <c r="A55" s="555">
        <v>10</v>
      </c>
      <c r="B55" s="550" t="s">
        <v>64</v>
      </c>
      <c r="C55" s="557">
        <v>1262516954</v>
      </c>
      <c r="D55" s="557">
        <v>1276888337</v>
      </c>
      <c r="E55" s="558">
        <v>1194818057</v>
      </c>
      <c r="F55" s="558">
        <v>1245170376</v>
      </c>
      <c r="V55" s="3"/>
      <c r="X55" s="426"/>
      <c r="Y55" s="405"/>
      <c r="Z55" s="405"/>
      <c r="AA55" s="405"/>
      <c r="AB55" s="536"/>
      <c r="AC55" s="537"/>
      <c r="AD55" s="538"/>
      <c r="AE55" s="537"/>
      <c r="AF55" s="524"/>
      <c r="AG55" s="537"/>
      <c r="AH55" s="524"/>
      <c r="AI55" s="525"/>
      <c r="AJ55" s="524"/>
      <c r="AK55" s="525"/>
      <c r="AL55" s="526"/>
      <c r="AM55" s="525"/>
      <c r="AN55" s="526"/>
      <c r="AO55" s="525"/>
      <c r="AP55" s="526"/>
    </row>
    <row r="56" spans="1:42" ht="16.5" customHeight="1" x14ac:dyDescent="0.25">
      <c r="A56" s="556" t="s">
        <v>165</v>
      </c>
      <c r="B56" s="553" t="s">
        <v>235</v>
      </c>
      <c r="C56" s="559">
        <v>60163835589</v>
      </c>
      <c r="D56" s="559">
        <v>59380590977</v>
      </c>
      <c r="E56" s="559">
        <v>63015647971</v>
      </c>
      <c r="F56" s="559">
        <v>63574188094</v>
      </c>
      <c r="V56" s="3"/>
      <c r="X56" s="539"/>
      <c r="Y56" s="539"/>
      <c r="Z56" s="539"/>
      <c r="AA56" s="539"/>
      <c r="AB56" s="527"/>
      <c r="AC56" s="527"/>
      <c r="AD56" s="527"/>
      <c r="AE56" s="527"/>
      <c r="AF56" s="527"/>
      <c r="AG56" s="527"/>
      <c r="AH56" s="527"/>
      <c r="AI56" s="527"/>
      <c r="AJ56" s="527"/>
      <c r="AK56" s="527"/>
      <c r="AL56" s="527"/>
      <c r="AM56" s="527"/>
      <c r="AN56" s="526"/>
      <c r="AO56" s="525"/>
      <c r="AP56" s="526"/>
    </row>
    <row r="57" spans="1:42" ht="15.75" x14ac:dyDescent="0.25">
      <c r="V57" s="3"/>
      <c r="X57" s="23" t="s">
        <v>236</v>
      </c>
      <c r="AB57" s="23"/>
      <c r="AC57" s="23"/>
      <c r="AE57" s="5"/>
      <c r="AF57" s="5"/>
      <c r="AG57" s="5"/>
      <c r="AH57" s="5"/>
      <c r="AI57" s="5"/>
      <c r="AJ57" s="5"/>
      <c r="AK57" s="5"/>
      <c r="AL57" s="5"/>
      <c r="AM57" s="5"/>
      <c r="AN57" s="526"/>
      <c r="AO57" s="525"/>
      <c r="AP57" s="526"/>
    </row>
    <row r="58" spans="1:42" ht="15.75" x14ac:dyDescent="0.25">
      <c r="V58" s="3"/>
      <c r="X58" s="23"/>
      <c r="Y58" s="23"/>
      <c r="Z58" s="23"/>
      <c r="AA58" s="23"/>
      <c r="AB58" s="23"/>
      <c r="AC58" s="23"/>
      <c r="AE58" s="5"/>
      <c r="AF58" s="5"/>
      <c r="AG58" s="5"/>
      <c r="AH58" s="5"/>
      <c r="AI58" s="5"/>
      <c r="AJ58" s="5"/>
      <c r="AK58" s="5"/>
      <c r="AL58" s="5"/>
      <c r="AM58" s="5"/>
      <c r="AN58" s="526"/>
      <c r="AO58" s="525"/>
      <c r="AP58" s="526"/>
    </row>
    <row r="59" spans="1:42" ht="15.75" x14ac:dyDescent="0.25">
      <c r="G59" t="s">
        <v>524</v>
      </c>
      <c r="V59" s="3"/>
      <c r="X59" s="30"/>
      <c r="Y59" s="37"/>
      <c r="Z59" s="37"/>
      <c r="AA59" s="37"/>
      <c r="AB59" s="37"/>
      <c r="AC59" s="24"/>
      <c r="AE59" s="5"/>
      <c r="AF59" s="5"/>
      <c r="AG59" s="5"/>
      <c r="AH59" s="5"/>
      <c r="AI59" s="5"/>
      <c r="AJ59" s="5"/>
      <c r="AK59" s="5"/>
      <c r="AL59" s="5"/>
      <c r="AM59" s="5"/>
      <c r="AN59" s="527"/>
      <c r="AO59" s="527"/>
      <c r="AP59" s="527"/>
    </row>
    <row r="60" spans="1:42" ht="47.25" x14ac:dyDescent="0.25">
      <c r="A60" s="554" t="s">
        <v>207</v>
      </c>
      <c r="B60" s="548" t="s">
        <v>208</v>
      </c>
      <c r="C60" s="548" t="s">
        <v>209</v>
      </c>
      <c r="D60" s="548" t="s">
        <v>210</v>
      </c>
      <c r="E60" s="548" t="s">
        <v>211</v>
      </c>
      <c r="F60" s="548" t="s">
        <v>212</v>
      </c>
      <c r="G60" s="548" t="s">
        <v>209</v>
      </c>
      <c r="H60" s="548" t="s">
        <v>210</v>
      </c>
      <c r="I60" s="548" t="s">
        <v>211</v>
      </c>
      <c r="J60" s="548" t="s">
        <v>212</v>
      </c>
      <c r="V60" s="3"/>
      <c r="X60" s="25"/>
      <c r="Y60" s="38"/>
      <c r="Z60" s="38"/>
      <c r="AA60" s="38"/>
      <c r="AB60" s="38"/>
      <c r="AC60" s="26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ht="17.25" customHeight="1" x14ac:dyDescent="0.25">
      <c r="A61" s="555">
        <v>1</v>
      </c>
      <c r="B61" s="549" t="s">
        <v>32</v>
      </c>
      <c r="C61" s="560">
        <f>+C46/1000000</f>
        <v>7949.9401669999997</v>
      </c>
      <c r="D61" s="560">
        <f t="shared" ref="D61:F61" si="0">+D46/1000000</f>
        <v>6837.9700860000003</v>
      </c>
      <c r="E61" s="560">
        <f t="shared" si="0"/>
        <v>8819.2250129999993</v>
      </c>
      <c r="F61" s="560">
        <f t="shared" si="0"/>
        <v>9186.8765359999998</v>
      </c>
      <c r="G61" s="683">
        <f>+C61-0</f>
        <v>7949.9401669999997</v>
      </c>
      <c r="H61" s="683">
        <f>+D61-C61</f>
        <v>-1111.9700809999995</v>
      </c>
      <c r="I61" s="683">
        <f>+E61-D61</f>
        <v>1981.254926999999</v>
      </c>
      <c r="J61" s="683">
        <f>+F61-E61</f>
        <v>367.65152300000045</v>
      </c>
      <c r="V61" s="3"/>
      <c r="X61" s="27"/>
      <c r="Y61" s="28"/>
      <c r="Z61" s="28"/>
      <c r="AA61" s="28"/>
      <c r="AB61" s="28"/>
      <c r="AC61" s="29"/>
      <c r="AJ61" s="5"/>
      <c r="AK61" s="5"/>
      <c r="AL61" s="5"/>
      <c r="AM61" s="5"/>
      <c r="AN61" s="5"/>
      <c r="AO61" s="5"/>
      <c r="AP61" s="5"/>
    </row>
    <row r="62" spans="1:42" ht="17.25" customHeight="1" x14ac:dyDescent="0.25">
      <c r="A62" s="555">
        <v>2</v>
      </c>
      <c r="B62" s="551" t="s">
        <v>37</v>
      </c>
      <c r="C62" s="560">
        <f t="shared" ref="C62:F71" si="1">+C47/1000000</f>
        <v>9678.6942249999993</v>
      </c>
      <c r="D62" s="560">
        <f t="shared" si="1"/>
        <v>9733.3441299999995</v>
      </c>
      <c r="E62" s="560">
        <f t="shared" si="1"/>
        <v>11238.346777000001</v>
      </c>
      <c r="F62" s="560">
        <f t="shared" si="1"/>
        <v>11791.835977000001</v>
      </c>
      <c r="G62" s="683">
        <f t="shared" ref="G62:G71" si="2">+C62-0</f>
        <v>9678.6942249999993</v>
      </c>
      <c r="H62" s="683">
        <f t="shared" ref="H62:H71" si="3">+D62-C62</f>
        <v>54.649905000000217</v>
      </c>
      <c r="I62" s="683">
        <f t="shared" ref="I62:J71" si="4">+E62-D62</f>
        <v>1505.0026470000012</v>
      </c>
      <c r="J62" s="683">
        <f t="shared" si="4"/>
        <v>553.48919999999998</v>
      </c>
      <c r="X62" s="23"/>
      <c r="Y62" s="23"/>
      <c r="Z62" s="23"/>
      <c r="AA62" s="23"/>
      <c r="AB62" s="23"/>
      <c r="AC62" s="23"/>
      <c r="AJ62" s="5"/>
      <c r="AK62" s="5"/>
      <c r="AL62" s="5"/>
      <c r="AM62" s="5"/>
      <c r="AN62" s="5"/>
      <c r="AO62" s="5"/>
      <c r="AP62" s="5"/>
    </row>
    <row r="63" spans="1:42" ht="17.25" customHeight="1" x14ac:dyDescent="0.25">
      <c r="A63" s="555">
        <v>3</v>
      </c>
      <c r="B63" s="552" t="s">
        <v>43</v>
      </c>
      <c r="C63" s="560">
        <f t="shared" si="1"/>
        <v>8200.460341</v>
      </c>
      <c r="D63" s="560">
        <f t="shared" si="1"/>
        <v>7934.5822710000002</v>
      </c>
      <c r="E63" s="560">
        <f t="shared" si="1"/>
        <v>8575.0511850000003</v>
      </c>
      <c r="F63" s="560">
        <f t="shared" si="1"/>
        <v>7933.1977639999996</v>
      </c>
      <c r="G63" s="683">
        <f t="shared" si="2"/>
        <v>8200.460341</v>
      </c>
      <c r="H63" s="683">
        <f t="shared" si="3"/>
        <v>-265.87806999999975</v>
      </c>
      <c r="I63" s="683">
        <f t="shared" si="4"/>
        <v>640.46891400000004</v>
      </c>
      <c r="J63" s="683">
        <f t="shared" si="4"/>
        <v>-641.85342100000071</v>
      </c>
      <c r="AN63" s="5"/>
      <c r="AO63" s="5"/>
      <c r="AP63" s="5"/>
    </row>
    <row r="64" spans="1:42" ht="17.25" customHeight="1" x14ac:dyDescent="0.25">
      <c r="A64" s="555">
        <v>4</v>
      </c>
      <c r="B64" s="549" t="s">
        <v>48</v>
      </c>
      <c r="C64" s="560">
        <f t="shared" si="1"/>
        <v>7682.9466700000003</v>
      </c>
      <c r="D64" s="560">
        <f t="shared" si="1"/>
        <v>9423.3919220000007</v>
      </c>
      <c r="E64" s="560">
        <f t="shared" si="1"/>
        <v>9412.2097319999993</v>
      </c>
      <c r="F64" s="560">
        <f t="shared" si="1"/>
        <v>9356.8762270000007</v>
      </c>
      <c r="G64" s="683">
        <f t="shared" si="2"/>
        <v>7682.9466700000003</v>
      </c>
      <c r="H64" s="683">
        <f t="shared" si="3"/>
        <v>1740.4452520000004</v>
      </c>
      <c r="I64" s="683">
        <f t="shared" si="4"/>
        <v>-11.182190000001356</v>
      </c>
      <c r="J64" s="683">
        <f t="shared" si="4"/>
        <v>-55.333504999998695</v>
      </c>
      <c r="AN64" s="5"/>
      <c r="AO64" s="5"/>
      <c r="AP64" s="5"/>
    </row>
    <row r="65" spans="1:42" ht="17.25" customHeight="1" x14ac:dyDescent="0.25">
      <c r="A65" s="555">
        <v>5</v>
      </c>
      <c r="B65" s="551" t="s">
        <v>52</v>
      </c>
      <c r="C65" s="560">
        <f t="shared" si="1"/>
        <v>8505.5243219999993</v>
      </c>
      <c r="D65" s="560">
        <f t="shared" si="1"/>
        <v>6509.5593769999996</v>
      </c>
      <c r="E65" s="560">
        <f t="shared" si="1"/>
        <v>6039.8725720000002</v>
      </c>
      <c r="F65" s="560">
        <f t="shared" si="1"/>
        <v>6268.72642</v>
      </c>
      <c r="G65" s="683">
        <f t="shared" si="2"/>
        <v>8505.5243219999993</v>
      </c>
      <c r="H65" s="683">
        <f t="shared" si="3"/>
        <v>-1995.9649449999997</v>
      </c>
      <c r="I65" s="683">
        <f t="shared" si="4"/>
        <v>-469.68680499999937</v>
      </c>
      <c r="J65" s="683">
        <f t="shared" si="4"/>
        <v>228.85384799999974</v>
      </c>
      <c r="AN65" s="5"/>
      <c r="AO65" s="5"/>
      <c r="AP65" s="5"/>
    </row>
    <row r="66" spans="1:42" ht="17.25" customHeight="1" x14ac:dyDescent="0.25">
      <c r="A66" s="555">
        <v>6</v>
      </c>
      <c r="B66" s="552" t="s">
        <v>55</v>
      </c>
      <c r="C66" s="560">
        <f t="shared" si="1"/>
        <v>9792.3874300000007</v>
      </c>
      <c r="D66" s="560">
        <f t="shared" si="1"/>
        <v>11532.235359</v>
      </c>
      <c r="E66" s="560">
        <f t="shared" si="1"/>
        <v>11919.318851</v>
      </c>
      <c r="F66" s="560">
        <f t="shared" si="1"/>
        <v>11775.669609</v>
      </c>
      <c r="G66" s="683">
        <f t="shared" si="2"/>
        <v>9792.3874300000007</v>
      </c>
      <c r="H66" s="683">
        <f t="shared" si="3"/>
        <v>1739.8479289999996</v>
      </c>
      <c r="I66" s="683">
        <f t="shared" si="4"/>
        <v>387.08349199999975</v>
      </c>
      <c r="J66" s="683">
        <f t="shared" si="4"/>
        <v>-143.6492419999995</v>
      </c>
    </row>
    <row r="67" spans="1:42" ht="17.25" customHeight="1" x14ac:dyDescent="0.25">
      <c r="A67" s="555">
        <v>7</v>
      </c>
      <c r="B67" s="550" t="s">
        <v>58</v>
      </c>
      <c r="C67" s="560">
        <f t="shared" si="1"/>
        <v>5030.2106739999999</v>
      </c>
      <c r="D67" s="560">
        <f t="shared" si="1"/>
        <v>3505.5545950000001</v>
      </c>
      <c r="E67" s="560">
        <f t="shared" si="1"/>
        <v>3243.6960610000001</v>
      </c>
      <c r="F67" s="560">
        <f t="shared" si="1"/>
        <v>3191.814957</v>
      </c>
      <c r="G67" s="683">
        <f t="shared" si="2"/>
        <v>5030.2106739999999</v>
      </c>
      <c r="H67" s="683">
        <f t="shared" si="3"/>
        <v>-1524.6560789999999</v>
      </c>
      <c r="I67" s="683">
        <f t="shared" si="4"/>
        <v>-261.85853399999996</v>
      </c>
      <c r="J67" s="683">
        <f t="shared" si="4"/>
        <v>-51.88110400000005</v>
      </c>
    </row>
    <row r="68" spans="1:42" ht="17.25" customHeight="1" x14ac:dyDescent="0.25">
      <c r="A68" s="555">
        <v>8</v>
      </c>
      <c r="B68" s="550" t="s">
        <v>60</v>
      </c>
      <c r="C68" s="560">
        <f t="shared" si="1"/>
        <v>1403.795206</v>
      </c>
      <c r="D68" s="560">
        <f t="shared" si="1"/>
        <v>2008.162478</v>
      </c>
      <c r="E68" s="560">
        <f t="shared" si="1"/>
        <v>1942.8651609999999</v>
      </c>
      <c r="F68" s="560">
        <f t="shared" si="1"/>
        <v>2167.4892679999998</v>
      </c>
      <c r="G68" s="683">
        <f t="shared" si="2"/>
        <v>1403.795206</v>
      </c>
      <c r="H68" s="683">
        <f t="shared" si="3"/>
        <v>604.36727199999996</v>
      </c>
      <c r="I68" s="683">
        <f t="shared" si="4"/>
        <v>-65.297317000000021</v>
      </c>
      <c r="J68" s="683">
        <f t="shared" si="4"/>
        <v>224.62410699999987</v>
      </c>
    </row>
    <row r="69" spans="1:42" ht="17.25" customHeight="1" x14ac:dyDescent="0.25">
      <c r="A69" s="555">
        <v>9</v>
      </c>
      <c r="B69" s="550" t="s">
        <v>62</v>
      </c>
      <c r="C69" s="560">
        <f t="shared" si="1"/>
        <v>657.3596</v>
      </c>
      <c r="D69" s="560">
        <f t="shared" si="1"/>
        <v>618.902422</v>
      </c>
      <c r="E69" s="560">
        <f t="shared" si="1"/>
        <v>630.24456199999997</v>
      </c>
      <c r="F69" s="560">
        <f t="shared" si="1"/>
        <v>656.53096000000005</v>
      </c>
      <c r="G69" s="683">
        <f t="shared" si="2"/>
        <v>657.3596</v>
      </c>
      <c r="H69" s="683">
        <f t="shared" si="3"/>
        <v>-38.457177999999999</v>
      </c>
      <c r="I69" s="683">
        <f t="shared" si="4"/>
        <v>11.342139999999972</v>
      </c>
      <c r="J69" s="683">
        <f t="shared" si="4"/>
        <v>26.286398000000077</v>
      </c>
    </row>
    <row r="70" spans="1:42" ht="17.25" customHeight="1" x14ac:dyDescent="0.25">
      <c r="A70" s="555">
        <v>10</v>
      </c>
      <c r="B70" s="550" t="s">
        <v>64</v>
      </c>
      <c r="C70" s="560">
        <f t="shared" si="1"/>
        <v>1262.5169539999999</v>
      </c>
      <c r="D70" s="560">
        <f t="shared" si="1"/>
        <v>1276.8883370000001</v>
      </c>
      <c r="E70" s="560">
        <f t="shared" si="1"/>
        <v>1194.818057</v>
      </c>
      <c r="F70" s="560">
        <f t="shared" si="1"/>
        <v>1245.170376</v>
      </c>
      <c r="G70" s="683">
        <f t="shared" si="2"/>
        <v>1262.5169539999999</v>
      </c>
      <c r="H70" s="683">
        <f t="shared" si="3"/>
        <v>14.371383000000151</v>
      </c>
      <c r="I70" s="683">
        <f t="shared" si="4"/>
        <v>-82.070280000000139</v>
      </c>
      <c r="J70" s="683">
        <f t="shared" si="4"/>
        <v>50.35231900000008</v>
      </c>
    </row>
    <row r="71" spans="1:42" ht="17.25" customHeight="1" x14ac:dyDescent="0.25">
      <c r="A71" s="556" t="s">
        <v>165</v>
      </c>
      <c r="B71" s="553" t="s">
        <v>235</v>
      </c>
      <c r="C71" s="559">
        <f t="shared" si="1"/>
        <v>60163.835589000002</v>
      </c>
      <c r="D71" s="559">
        <f t="shared" si="1"/>
        <v>59380.590977</v>
      </c>
      <c r="E71" s="559">
        <f t="shared" si="1"/>
        <v>63015.647970999999</v>
      </c>
      <c r="F71" s="559">
        <f t="shared" si="1"/>
        <v>63574.188093999997</v>
      </c>
      <c r="G71" s="684">
        <f t="shared" si="2"/>
        <v>60163.835589000002</v>
      </c>
      <c r="H71" s="684">
        <f t="shared" si="3"/>
        <v>-783.24461200000223</v>
      </c>
      <c r="I71" s="684">
        <f t="shared" si="4"/>
        <v>3635.0569939999987</v>
      </c>
      <c r="J71" s="684">
        <f t="shared" si="4"/>
        <v>558.54012299999886</v>
      </c>
    </row>
  </sheetData>
  <mergeCells count="37">
    <mergeCell ref="R12:S13"/>
    <mergeCell ref="F15:M15"/>
    <mergeCell ref="L18:M18"/>
    <mergeCell ref="F19:M19"/>
    <mergeCell ref="Q19:T19"/>
    <mergeCell ref="F9:P9"/>
    <mergeCell ref="F12:G13"/>
    <mergeCell ref="I12:J13"/>
    <mergeCell ref="L12:M13"/>
    <mergeCell ref="O12:P13"/>
    <mergeCell ref="AA27:AC27"/>
    <mergeCell ref="AD27:AF27"/>
    <mergeCell ref="AG27:AI27"/>
    <mergeCell ref="AN27:AO27"/>
    <mergeCell ref="Q21:T21"/>
    <mergeCell ref="X32:X34"/>
    <mergeCell ref="Y32:Y34"/>
    <mergeCell ref="X35:X37"/>
    <mergeCell ref="Y35:Y37"/>
    <mergeCell ref="X38:X40"/>
    <mergeCell ref="Y38:Y40"/>
    <mergeCell ref="X27:X28"/>
    <mergeCell ref="Y27:Y28"/>
    <mergeCell ref="Z27:Z28"/>
    <mergeCell ref="X29:X31"/>
    <mergeCell ref="Y29:Y31"/>
    <mergeCell ref="Y41:Y43"/>
    <mergeCell ref="X44:X46"/>
    <mergeCell ref="Y44:Y46"/>
    <mergeCell ref="X47:X48"/>
    <mergeCell ref="Y47:Y48"/>
    <mergeCell ref="X41:X43"/>
    <mergeCell ref="X49:X50"/>
    <mergeCell ref="Y49:Y50"/>
    <mergeCell ref="X51:X52"/>
    <mergeCell ref="Y51:Y52"/>
    <mergeCell ref="X54:Y5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DC48-27B8-40EB-8ABC-CEA5313671F0}">
  <sheetPr>
    <tabColor rgb="FFFFC000"/>
  </sheetPr>
  <dimension ref="A1:L40"/>
  <sheetViews>
    <sheetView showGridLines="0" topLeftCell="A18" zoomScale="115" zoomScaleNormal="115" workbookViewId="0">
      <selection activeCell="A41" sqref="A41"/>
    </sheetView>
  </sheetViews>
  <sheetFormatPr defaultRowHeight="15" x14ac:dyDescent="0.25"/>
  <cols>
    <col min="1" max="1" width="42.7109375" customWidth="1"/>
    <col min="2" max="2" width="6.28515625" customWidth="1"/>
    <col min="3" max="3" width="5" customWidth="1"/>
    <col min="4" max="4" width="34.7109375" bestFit="1" customWidth="1"/>
    <col min="5" max="5" width="8.7109375" style="9" customWidth="1"/>
    <col min="6" max="12" width="17.28515625" customWidth="1"/>
    <col min="13" max="13" width="11.5703125" customWidth="1"/>
    <col min="14" max="14" width="18.140625" customWidth="1"/>
    <col min="15" max="15" width="11.5703125" customWidth="1"/>
    <col min="16" max="16" width="18.140625" customWidth="1"/>
    <col min="17" max="17" width="11.5703125" customWidth="1"/>
    <col min="18" max="18" width="18.140625" customWidth="1"/>
    <col min="19" max="19" width="11.5703125" customWidth="1"/>
    <col min="20" max="20" width="18.140625" customWidth="1"/>
    <col min="21" max="21" width="11.5703125" customWidth="1"/>
  </cols>
  <sheetData>
    <row r="1" spans="1:12" ht="21" x14ac:dyDescent="0.35">
      <c r="A1" s="44"/>
    </row>
    <row r="2" spans="1:12" x14ac:dyDescent="0.25">
      <c r="A2" t="s">
        <v>237</v>
      </c>
    </row>
    <row r="9" spans="1:12" x14ac:dyDescent="0.25">
      <c r="A9" s="3"/>
      <c r="C9" s="1" t="s">
        <v>152</v>
      </c>
    </row>
    <row r="10" spans="1:12" x14ac:dyDescent="0.25">
      <c r="A10" s="3"/>
      <c r="C10" s="5"/>
    </row>
    <row r="11" spans="1:12" ht="24" customHeight="1" x14ac:dyDescent="0.25">
      <c r="A11" s="4"/>
      <c r="B11" s="5"/>
      <c r="D11" s="6" t="s">
        <v>238</v>
      </c>
      <c r="E11" s="131"/>
      <c r="F11" s="5"/>
      <c r="G11" s="5"/>
      <c r="H11" s="5"/>
      <c r="I11" s="5"/>
    </row>
    <row r="12" spans="1:12" ht="16.5" customHeight="1" x14ac:dyDescent="0.25">
      <c r="A12" s="4"/>
      <c r="B12" s="5"/>
      <c r="D12" s="5" t="s">
        <v>154</v>
      </c>
      <c r="E12" s="5" t="s">
        <v>67</v>
      </c>
      <c r="F12" s="5"/>
      <c r="G12" s="5"/>
      <c r="H12" s="5"/>
      <c r="I12" s="5"/>
    </row>
    <row r="13" spans="1:12" s="5" customFormat="1" ht="16.5" customHeight="1" x14ac:dyDescent="0.25">
      <c r="A13" s="4"/>
      <c r="D13" s="5" t="s">
        <v>239</v>
      </c>
      <c r="E13" s="267">
        <v>45717</v>
      </c>
    </row>
    <row r="14" spans="1:12" s="5" customFormat="1" ht="12.75" customHeight="1" x14ac:dyDescent="0.2">
      <c r="A14" s="4"/>
      <c r="E14" s="131"/>
      <c r="G14" s="31"/>
      <c r="H14" s="31"/>
    </row>
    <row r="15" spans="1:12" s="5" customFormat="1" ht="21" customHeight="1" x14ac:dyDescent="0.2">
      <c r="A15" s="4"/>
      <c r="C15" s="264" t="s">
        <v>240</v>
      </c>
      <c r="E15" s="131"/>
      <c r="G15" s="31"/>
      <c r="H15" s="31"/>
    </row>
    <row r="16" spans="1:12" s="5" customFormat="1" ht="33" customHeight="1" x14ac:dyDescent="0.25">
      <c r="A16" s="4"/>
      <c r="C16" s="260" t="s">
        <v>74</v>
      </c>
      <c r="D16" s="261" t="s">
        <v>150</v>
      </c>
      <c r="E16" s="260" t="s">
        <v>157</v>
      </c>
      <c r="F16" s="166" t="s">
        <v>158</v>
      </c>
      <c r="G16" s="166" t="s">
        <v>159</v>
      </c>
      <c r="H16" s="166" t="s">
        <v>160</v>
      </c>
      <c r="I16" s="166" t="s">
        <v>241</v>
      </c>
      <c r="J16" s="166" t="s">
        <v>242</v>
      </c>
      <c r="K16" s="166" t="s">
        <v>243</v>
      </c>
      <c r="L16" s="166" t="s">
        <v>244</v>
      </c>
    </row>
    <row r="17" spans="1:12" s="5" customFormat="1" ht="20.25" customHeight="1" x14ac:dyDescent="0.25">
      <c r="A17" s="4"/>
      <c r="C17" s="148">
        <v>1</v>
      </c>
      <c r="D17" s="265" t="s">
        <v>68</v>
      </c>
      <c r="E17" s="148" t="s">
        <v>245</v>
      </c>
      <c r="F17" s="168">
        <v>104326875</v>
      </c>
      <c r="G17" s="168">
        <v>120822113</v>
      </c>
      <c r="H17" s="170">
        <v>120822113</v>
      </c>
      <c r="I17" s="181"/>
      <c r="J17" s="170">
        <v>125931165</v>
      </c>
      <c r="K17" s="171">
        <v>117700831</v>
      </c>
      <c r="L17" s="171">
        <v>137102987</v>
      </c>
    </row>
    <row r="18" spans="1:12" s="5" customFormat="1" ht="20.25" customHeight="1" x14ac:dyDescent="0.25">
      <c r="A18" s="4"/>
      <c r="C18" s="148">
        <v>2</v>
      </c>
      <c r="D18" s="265" t="s">
        <v>68</v>
      </c>
      <c r="E18" s="148" t="s">
        <v>246</v>
      </c>
      <c r="F18" s="266"/>
      <c r="G18" s="179"/>
      <c r="H18" s="181"/>
      <c r="I18" s="181"/>
      <c r="J18" s="181"/>
      <c r="K18" s="268"/>
      <c r="L18" s="268"/>
    </row>
    <row r="19" spans="1:12" s="5" customFormat="1" ht="20.25" customHeight="1" x14ac:dyDescent="0.25">
      <c r="A19" s="4"/>
      <c r="C19" s="148">
        <v>3</v>
      </c>
      <c r="D19" s="149" t="s">
        <v>247</v>
      </c>
      <c r="E19" s="148" t="s">
        <v>245</v>
      </c>
      <c r="F19" s="168">
        <v>5125475035</v>
      </c>
      <c r="G19" s="168">
        <v>4994030423</v>
      </c>
      <c r="H19" s="170">
        <v>3092957200</v>
      </c>
      <c r="I19" s="170">
        <v>4170440403</v>
      </c>
      <c r="J19" s="170">
        <v>4283168524</v>
      </c>
      <c r="K19" s="171">
        <v>3889605481</v>
      </c>
      <c r="L19" s="171">
        <v>4118725809</v>
      </c>
    </row>
    <row r="20" spans="1:12" s="5" customFormat="1" ht="20.25" customHeight="1" x14ac:dyDescent="0.25">
      <c r="A20" s="4"/>
      <c r="C20" s="148">
        <v>4</v>
      </c>
      <c r="D20" s="149" t="s">
        <v>73</v>
      </c>
      <c r="E20" s="148" t="s">
        <v>246</v>
      </c>
      <c r="F20" s="168">
        <v>1010173466</v>
      </c>
      <c r="G20" s="179"/>
      <c r="H20" s="170">
        <v>1014998110</v>
      </c>
      <c r="I20" s="170">
        <v>1017642966</v>
      </c>
      <c r="J20" s="170">
        <v>1018572116</v>
      </c>
      <c r="K20" s="171">
        <v>1021671243</v>
      </c>
      <c r="L20" s="171">
        <v>1068721791</v>
      </c>
    </row>
    <row r="21" spans="1:12" s="5" customFormat="1" ht="20.25" customHeight="1" x14ac:dyDescent="0.25">
      <c r="A21" s="4"/>
      <c r="C21" s="148">
        <v>5</v>
      </c>
      <c r="D21" s="149" t="s">
        <v>81</v>
      </c>
      <c r="E21" s="148" t="s">
        <v>245</v>
      </c>
      <c r="F21" s="168">
        <v>4182558944</v>
      </c>
      <c r="G21" s="168">
        <v>3985234920</v>
      </c>
      <c r="H21" s="170">
        <v>3868127128</v>
      </c>
      <c r="I21" s="170">
        <v>2852697024</v>
      </c>
      <c r="J21" s="170">
        <v>2867299387</v>
      </c>
      <c r="K21" s="171">
        <v>2871279373</v>
      </c>
      <c r="L21" s="171">
        <v>3088717916</v>
      </c>
    </row>
    <row r="22" spans="1:12" s="5" customFormat="1" ht="20.25" customHeight="1" x14ac:dyDescent="0.25">
      <c r="A22" s="4"/>
      <c r="C22" s="148">
        <v>6</v>
      </c>
      <c r="D22" s="149" t="s">
        <v>248</v>
      </c>
      <c r="E22" s="148" t="s">
        <v>246</v>
      </c>
      <c r="F22" s="168">
        <v>3264131117</v>
      </c>
      <c r="G22" s="168">
        <v>4049315477</v>
      </c>
      <c r="H22" s="170">
        <v>3321691352</v>
      </c>
      <c r="I22" s="170">
        <v>3314038049</v>
      </c>
      <c r="J22" s="170">
        <v>3313283299</v>
      </c>
      <c r="K22" s="171">
        <v>3097846694</v>
      </c>
      <c r="L22" s="171">
        <v>2808245780</v>
      </c>
    </row>
    <row r="23" spans="1:12" s="5" customFormat="1" ht="20.25" customHeight="1" x14ac:dyDescent="0.25">
      <c r="A23" s="4"/>
      <c r="C23" s="148">
        <v>7</v>
      </c>
      <c r="D23" s="149" t="s">
        <v>249</v>
      </c>
      <c r="E23" s="148" t="s">
        <v>245</v>
      </c>
      <c r="F23" s="168">
        <v>2134558826</v>
      </c>
      <c r="G23" s="168">
        <v>1922455376</v>
      </c>
      <c r="H23" s="170">
        <v>1885058584</v>
      </c>
      <c r="I23" s="170">
        <v>1846693609</v>
      </c>
      <c r="J23" s="170">
        <v>1850588609</v>
      </c>
      <c r="K23" s="171">
        <v>2077047109</v>
      </c>
      <c r="L23" s="171">
        <v>2158102253</v>
      </c>
    </row>
    <row r="24" spans="1:12" s="5" customFormat="1" ht="20.25" customHeight="1" x14ac:dyDescent="0.25">
      <c r="A24" s="4"/>
      <c r="C24" s="148">
        <v>8</v>
      </c>
      <c r="D24" s="149" t="s">
        <v>250</v>
      </c>
      <c r="E24" s="148" t="s">
        <v>245</v>
      </c>
      <c r="F24" s="168">
        <v>42457500</v>
      </c>
      <c r="G24" s="168">
        <v>42457500</v>
      </c>
      <c r="H24" s="170">
        <v>42457500</v>
      </c>
      <c r="I24" s="170">
        <v>42457500</v>
      </c>
      <c r="J24" s="181"/>
      <c r="K24" s="171">
        <v>42457500</v>
      </c>
      <c r="L24" s="171">
        <v>42457500</v>
      </c>
    </row>
    <row r="25" spans="1:12" s="5" customFormat="1" ht="20.25" customHeight="1" x14ac:dyDescent="0.25">
      <c r="A25" s="3"/>
      <c r="B25"/>
      <c r="C25" s="148">
        <v>9</v>
      </c>
      <c r="D25" s="149" t="s">
        <v>100</v>
      </c>
      <c r="E25" s="148" t="s">
        <v>246</v>
      </c>
      <c r="F25" s="168">
        <v>253335702</v>
      </c>
      <c r="G25" s="168">
        <v>252655380</v>
      </c>
      <c r="H25" s="170">
        <v>254976289</v>
      </c>
      <c r="I25" s="170">
        <v>254976289</v>
      </c>
      <c r="J25" s="170">
        <v>252655380</v>
      </c>
      <c r="K25" s="171">
        <v>254770018</v>
      </c>
      <c r="L25" s="171">
        <v>368981687</v>
      </c>
    </row>
    <row r="26" spans="1:12" s="5" customFormat="1" ht="20.25" customHeight="1" x14ac:dyDescent="0.25">
      <c r="A26" s="3"/>
      <c r="B26"/>
      <c r="C26" s="148">
        <v>10</v>
      </c>
      <c r="D26" s="149" t="s">
        <v>251</v>
      </c>
      <c r="E26" s="148" t="s">
        <v>245</v>
      </c>
      <c r="F26" s="168">
        <v>42745000</v>
      </c>
      <c r="G26" s="168">
        <v>43022500</v>
      </c>
      <c r="H26" s="170">
        <v>43011400</v>
      </c>
      <c r="I26" s="170">
        <v>43022500</v>
      </c>
      <c r="J26" s="170">
        <v>43022500</v>
      </c>
      <c r="K26" s="171">
        <v>43022500</v>
      </c>
      <c r="L26" s="171">
        <v>43012500</v>
      </c>
    </row>
    <row r="27" spans="1:12" ht="20.25" customHeight="1" x14ac:dyDescent="0.25">
      <c r="A27" s="3"/>
      <c r="C27" s="148">
        <v>11</v>
      </c>
      <c r="D27" s="149" t="s">
        <v>252</v>
      </c>
      <c r="E27" s="148" t="s">
        <v>246</v>
      </c>
      <c r="F27" s="168">
        <v>1017370500</v>
      </c>
      <c r="G27" s="168">
        <v>1418909442</v>
      </c>
      <c r="H27" s="170">
        <v>1155566437</v>
      </c>
      <c r="I27" s="170">
        <v>1165641551</v>
      </c>
      <c r="J27" s="170">
        <v>1161949167</v>
      </c>
      <c r="K27" s="171">
        <v>1226743413</v>
      </c>
      <c r="L27" s="171">
        <v>1226743413</v>
      </c>
    </row>
    <row r="28" spans="1:12" ht="20.25" customHeight="1" x14ac:dyDescent="0.25">
      <c r="A28" s="3"/>
      <c r="C28" s="148">
        <v>12</v>
      </c>
      <c r="D28" s="149" t="s">
        <v>253</v>
      </c>
      <c r="E28" s="148" t="s">
        <v>245</v>
      </c>
      <c r="F28" s="168">
        <v>1023684962</v>
      </c>
      <c r="G28" s="168">
        <v>1026203058.61</v>
      </c>
      <c r="H28" s="170">
        <v>1036413053</v>
      </c>
      <c r="I28" s="170">
        <v>1035591064</v>
      </c>
      <c r="J28" s="170">
        <v>1092613250</v>
      </c>
      <c r="K28" s="171">
        <v>1065035372</v>
      </c>
      <c r="L28" s="171">
        <v>1082910972</v>
      </c>
    </row>
    <row r="29" spans="1:12" ht="20.25" customHeight="1" x14ac:dyDescent="0.25">
      <c r="A29" s="3"/>
      <c r="C29" s="148">
        <v>13</v>
      </c>
      <c r="D29" s="173" t="s">
        <v>254</v>
      </c>
      <c r="E29" s="148" t="s">
        <v>246</v>
      </c>
      <c r="F29" s="269"/>
      <c r="G29" s="179"/>
      <c r="H29" s="181"/>
      <c r="I29" s="181"/>
      <c r="J29" s="170">
        <v>415547484</v>
      </c>
      <c r="K29" s="171">
        <v>396502250</v>
      </c>
      <c r="L29" s="171">
        <v>812663872</v>
      </c>
    </row>
    <row r="30" spans="1:12" ht="20.25" customHeight="1" x14ac:dyDescent="0.25">
      <c r="A30" s="3"/>
      <c r="C30" s="148">
        <v>14</v>
      </c>
      <c r="D30" s="149" t="s">
        <v>255</v>
      </c>
      <c r="E30" s="148" t="s">
        <v>245</v>
      </c>
      <c r="F30" s="269"/>
      <c r="G30" s="179"/>
      <c r="H30" s="181"/>
      <c r="I30" s="170">
        <v>410597375.66666698</v>
      </c>
      <c r="J30" s="170">
        <v>179376000</v>
      </c>
      <c r="K30" s="171">
        <v>179376000</v>
      </c>
      <c r="L30" s="171">
        <v>179171929</v>
      </c>
    </row>
    <row r="31" spans="1:12" ht="21" customHeight="1" x14ac:dyDescent="0.25">
      <c r="A31" s="3"/>
      <c r="C31" s="177"/>
      <c r="D31" s="177" t="s">
        <v>256</v>
      </c>
      <c r="E31" s="177"/>
      <c r="F31" s="178">
        <v>18200817927</v>
      </c>
      <c r="G31" s="178">
        <v>18868363216.610001</v>
      </c>
      <c r="H31" s="178">
        <v>15836079166</v>
      </c>
      <c r="I31" s="178">
        <v>16273069495.666668</v>
      </c>
      <c r="J31" s="178">
        <v>16646464381</v>
      </c>
      <c r="K31" s="178">
        <v>16283057784</v>
      </c>
      <c r="L31" s="178">
        <v>17135558409</v>
      </c>
    </row>
    <row r="32" spans="1:12" ht="15" customHeight="1" x14ac:dyDescent="0.25">
      <c r="A32" s="3"/>
      <c r="C32" s="5"/>
      <c r="D32" s="5"/>
      <c r="E32" s="131"/>
      <c r="F32" s="5"/>
      <c r="G32" s="5"/>
      <c r="H32" s="5"/>
      <c r="I32" s="5"/>
      <c r="J32" s="5"/>
      <c r="K32" s="5"/>
      <c r="L32" s="5"/>
    </row>
    <row r="33" spans="1:12" ht="15" customHeight="1" x14ac:dyDescent="0.25">
      <c r="A33" s="3"/>
      <c r="C33" s="5"/>
      <c r="D33" s="5"/>
      <c r="E33" s="131"/>
      <c r="F33" s="5"/>
      <c r="G33" s="5"/>
      <c r="H33" s="5"/>
      <c r="I33" s="5"/>
      <c r="J33" s="5"/>
      <c r="K33" s="5"/>
      <c r="L33" s="5"/>
    </row>
    <row r="34" spans="1:12" x14ac:dyDescent="0.25">
      <c r="A34" s="3"/>
      <c r="C34" s="5"/>
      <c r="D34" s="5"/>
      <c r="E34" s="131"/>
      <c r="F34" s="5"/>
      <c r="G34" s="5"/>
      <c r="H34" s="5"/>
      <c r="I34" s="5"/>
      <c r="J34" s="5"/>
      <c r="K34" s="5"/>
      <c r="L34" s="5"/>
    </row>
    <row r="35" spans="1:12" x14ac:dyDescent="0.25">
      <c r="A35" s="3"/>
      <c r="C35" s="23" t="s">
        <v>236</v>
      </c>
      <c r="F35" s="23"/>
      <c r="H35" s="5"/>
      <c r="I35" s="5"/>
      <c r="J35" s="5"/>
      <c r="K35" s="5"/>
      <c r="L35" s="5"/>
    </row>
    <row r="36" spans="1:12" x14ac:dyDescent="0.25">
      <c r="A36" s="3"/>
      <c r="C36" s="23"/>
      <c r="D36" s="23"/>
      <c r="E36" s="38"/>
      <c r="F36" s="23"/>
      <c r="J36" s="5"/>
      <c r="K36" s="5"/>
      <c r="L36" s="5"/>
    </row>
    <row r="37" spans="1:12" x14ac:dyDescent="0.25">
      <c r="A37" s="3"/>
      <c r="C37" s="270"/>
      <c r="D37" s="271"/>
      <c r="E37" s="271"/>
      <c r="F37" s="271"/>
      <c r="G37" s="272"/>
      <c r="H37" s="273"/>
      <c r="J37" s="5"/>
      <c r="K37" s="5"/>
      <c r="L37" s="5"/>
    </row>
    <row r="38" spans="1:12" x14ac:dyDescent="0.25">
      <c r="A38" s="3"/>
      <c r="C38" s="274"/>
      <c r="D38" s="38"/>
      <c r="E38" s="38"/>
      <c r="F38" s="38"/>
      <c r="H38" s="275"/>
    </row>
    <row r="39" spans="1:12" x14ac:dyDescent="0.25">
      <c r="A39" s="3"/>
      <c r="C39" s="276"/>
      <c r="D39" s="277"/>
      <c r="E39" s="278"/>
      <c r="F39" s="277"/>
      <c r="G39" s="279"/>
      <c r="H39" s="280"/>
    </row>
    <row r="40" spans="1:12" x14ac:dyDescent="0.25">
      <c r="C40" s="23"/>
      <c r="D40" s="23"/>
      <c r="E40" s="38"/>
      <c r="F40" s="23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2979-0588-4756-B29D-F07516E8F230}">
  <sheetPr>
    <tabColor rgb="FFFFC000"/>
  </sheetPr>
  <dimension ref="A1:AV55"/>
  <sheetViews>
    <sheetView showGridLines="0" workbookViewId="0">
      <selection activeCell="D26" sqref="D26"/>
    </sheetView>
  </sheetViews>
  <sheetFormatPr defaultRowHeight="15" x14ac:dyDescent="0.25"/>
  <cols>
    <col min="1" max="1" width="29.5703125" customWidth="1"/>
    <col min="2" max="3" width="2.5703125" customWidth="1"/>
    <col min="4" max="4" width="1.140625" customWidth="1"/>
    <col min="5" max="6" width="10.42578125" customWidth="1"/>
    <col min="7" max="7" width="1.140625" customWidth="1"/>
    <col min="8" max="9" width="10.42578125" customWidth="1"/>
    <col min="10" max="10" width="1.140625" customWidth="1"/>
    <col min="11" max="12" width="10.42578125" customWidth="1"/>
    <col min="13" max="13" width="1.140625" customWidth="1"/>
    <col min="14" max="14" width="10.42578125" customWidth="1"/>
    <col min="15" max="15" width="7.5703125" customWidth="1"/>
    <col min="16" max="16" width="5.85546875" customWidth="1"/>
    <col min="17" max="17" width="8.85546875" customWidth="1"/>
    <col min="18" max="18" width="12.28515625" customWidth="1"/>
    <col min="19" max="19" width="14.140625" customWidth="1"/>
    <col min="21" max="21" width="31.5703125" customWidth="1"/>
    <col min="22" max="22" width="3.85546875" customWidth="1"/>
    <col min="23" max="23" width="6.42578125" customWidth="1"/>
    <col min="24" max="24" width="34.7109375" bestFit="1" customWidth="1"/>
    <col min="25" max="25" width="18.140625" customWidth="1"/>
    <col min="26" max="26" width="11.5703125" customWidth="1"/>
    <col min="27" max="27" width="18.140625" customWidth="1"/>
    <col min="28" max="28" width="11.5703125" customWidth="1"/>
    <col min="29" max="29" width="18.140625" customWidth="1"/>
    <col min="30" max="30" width="11.5703125" customWidth="1"/>
    <col min="31" max="31" width="18.140625" customWidth="1"/>
    <col min="32" max="32" width="11.5703125" customWidth="1"/>
    <col min="33" max="33" width="18.140625" customWidth="1"/>
    <col min="34" max="34" width="11.5703125" customWidth="1"/>
    <col min="35" max="35" width="18.140625" customWidth="1"/>
    <col min="36" max="36" width="11.5703125" customWidth="1"/>
    <col min="37" max="37" width="18.140625" customWidth="1"/>
    <col min="38" max="38" width="11.5703125" customWidth="1"/>
    <col min="39" max="39" width="18.140625" customWidth="1"/>
    <col min="40" max="40" width="11.5703125" customWidth="1"/>
    <col min="41" max="41" width="18.140625" customWidth="1"/>
    <col min="42" max="42" width="11.5703125" customWidth="1"/>
    <col min="43" max="43" width="18.140625" customWidth="1"/>
    <col min="44" max="44" width="11.5703125" customWidth="1"/>
    <col min="45" max="45" width="18.140625" customWidth="1"/>
    <col min="46" max="46" width="11.5703125" customWidth="1"/>
    <col min="47" max="47" width="18.140625" customWidth="1"/>
    <col min="48" max="48" width="11.5703125" customWidth="1"/>
  </cols>
  <sheetData>
    <row r="1" spans="1:39" ht="21" x14ac:dyDescent="0.35">
      <c r="A1" s="44" t="s">
        <v>257</v>
      </c>
      <c r="U1" s="44"/>
    </row>
    <row r="2" spans="1:39" x14ac:dyDescent="0.25">
      <c r="A2" t="s">
        <v>258</v>
      </c>
      <c r="U2" t="s">
        <v>149</v>
      </c>
    </row>
    <row r="9" spans="1:39" x14ac:dyDescent="0.25">
      <c r="A9" s="3"/>
      <c r="E9" s="586" t="s">
        <v>259</v>
      </c>
      <c r="F9" s="586"/>
      <c r="G9" s="586"/>
      <c r="H9" s="586"/>
      <c r="I9" s="586"/>
      <c r="J9" s="586"/>
      <c r="K9" s="586"/>
      <c r="L9" s="586"/>
      <c r="M9" s="586"/>
      <c r="N9" s="586"/>
      <c r="O9" s="586"/>
      <c r="U9" s="3"/>
      <c r="W9" s="1" t="s">
        <v>152</v>
      </c>
    </row>
    <row r="10" spans="1:39" x14ac:dyDescent="0.25">
      <c r="A10" s="3"/>
      <c r="U10" s="3"/>
      <c r="W10" s="5"/>
    </row>
    <row r="11" spans="1:39" ht="24" customHeight="1" x14ac:dyDescent="0.25">
      <c r="A11" s="3"/>
      <c r="E11" s="56" t="s">
        <v>29</v>
      </c>
      <c r="F11" s="57"/>
      <c r="G11" s="45"/>
      <c r="H11" s="64" t="s">
        <v>67</v>
      </c>
      <c r="I11" s="58"/>
      <c r="J11" s="46"/>
      <c r="K11" s="56" t="s">
        <v>99</v>
      </c>
      <c r="L11" s="57"/>
      <c r="M11" s="8"/>
      <c r="N11" s="56" t="s">
        <v>124</v>
      </c>
      <c r="O11" s="57"/>
      <c r="Q11" s="165" t="s">
        <v>260</v>
      </c>
      <c r="R11" s="55"/>
      <c r="U11" s="4"/>
      <c r="V11" s="5"/>
      <c r="W11" s="6" t="s">
        <v>153</v>
      </c>
      <c r="X11" s="5"/>
      <c r="Y11" s="5"/>
      <c r="Z11" s="5"/>
      <c r="AA11" s="5"/>
      <c r="AB11" s="5"/>
      <c r="AC11" s="5"/>
      <c r="AD11" s="5"/>
      <c r="AE11" s="5"/>
      <c r="AF11" s="5"/>
    </row>
    <row r="12" spans="1:39" ht="24" customHeight="1" x14ac:dyDescent="0.25">
      <c r="A12" s="3"/>
      <c r="E12" s="599">
        <v>10</v>
      </c>
      <c r="F12" s="599"/>
      <c r="G12" s="7"/>
      <c r="H12" s="602">
        <v>1</v>
      </c>
      <c r="I12" s="602"/>
      <c r="J12" s="47"/>
      <c r="K12" s="599">
        <v>30</v>
      </c>
      <c r="L12" s="599"/>
      <c r="M12" s="7"/>
      <c r="N12" s="599">
        <v>60</v>
      </c>
      <c r="O12" s="599"/>
      <c r="Q12" s="598" t="s">
        <v>79</v>
      </c>
      <c r="R12" s="598"/>
      <c r="U12" s="4"/>
      <c r="V12" s="5"/>
      <c r="W12" s="5" t="s">
        <v>154</v>
      </c>
      <c r="X12" s="5" t="s">
        <v>67</v>
      </c>
      <c r="Y12" s="5"/>
      <c r="Z12" s="5"/>
      <c r="AA12" s="5"/>
      <c r="AB12" s="5"/>
      <c r="AC12" s="5"/>
      <c r="AD12" s="5"/>
      <c r="AE12" s="5"/>
      <c r="AF12" s="5"/>
    </row>
    <row r="13" spans="1:39" s="5" customFormat="1" ht="24" customHeight="1" x14ac:dyDescent="0.25">
      <c r="A13" s="4"/>
      <c r="E13" s="599"/>
      <c r="F13" s="599"/>
      <c r="G13" s="48"/>
      <c r="H13" s="602"/>
      <c r="I13" s="602"/>
      <c r="J13" s="49"/>
      <c r="K13" s="599"/>
      <c r="L13" s="599"/>
      <c r="M13" s="7"/>
      <c r="N13" s="599"/>
      <c r="O13" s="599"/>
      <c r="Q13" s="598"/>
      <c r="R13" s="598"/>
      <c r="U13" s="4"/>
      <c r="W13" s="5" t="s">
        <v>155</v>
      </c>
    </row>
    <row r="14" spans="1:39" s="5" customFormat="1" ht="12.75" customHeight="1" x14ac:dyDescent="0.2">
      <c r="A14" s="4"/>
      <c r="E14" s="90" t="s">
        <v>261</v>
      </c>
      <c r="F14" s="32"/>
      <c r="G14" s="7"/>
      <c r="H14" s="7"/>
      <c r="I14" s="7"/>
      <c r="J14" s="7"/>
      <c r="K14" s="7"/>
      <c r="L14" s="7"/>
      <c r="M14" s="7"/>
      <c r="N14" s="7"/>
      <c r="O14" s="7"/>
      <c r="U14" s="4"/>
      <c r="AA14" s="31"/>
      <c r="AC14" s="31"/>
      <c r="AD14" s="31"/>
    </row>
    <row r="15" spans="1:39" s="5" customFormat="1" ht="21" customHeight="1" x14ac:dyDescent="0.25">
      <c r="A15" s="4"/>
      <c r="E15" s="589" t="s">
        <v>262</v>
      </c>
      <c r="F15" s="589"/>
      <c r="G15" s="589"/>
      <c r="H15" s="589"/>
      <c r="I15" s="589"/>
      <c r="J15" s="589"/>
      <c r="K15" s="589"/>
      <c r="L15" s="589"/>
      <c r="M15" s="107"/>
      <c r="N15" s="107"/>
      <c r="O15" s="107"/>
      <c r="U15" s="4"/>
      <c r="AA15" s="31"/>
      <c r="AC15" s="31"/>
      <c r="AD15" s="31"/>
    </row>
    <row r="16" spans="1:39" s="5" customFormat="1" ht="12.75" customHeight="1" x14ac:dyDescent="0.25">
      <c r="A16" s="4"/>
      <c r="C16" s="51" t="s">
        <v>74</v>
      </c>
      <c r="E16" s="51" t="s">
        <v>263</v>
      </c>
      <c r="F16" s="32"/>
      <c r="G16" s="7"/>
      <c r="H16" s="52" t="s">
        <v>264</v>
      </c>
      <c r="I16" s="32"/>
      <c r="J16" s="7"/>
      <c r="K16" s="52" t="s">
        <v>162</v>
      </c>
      <c r="L16" s="32"/>
      <c r="M16" s="7"/>
      <c r="N16" s="52" t="s">
        <v>265</v>
      </c>
      <c r="O16" s="7"/>
      <c r="P16" s="52" t="s">
        <v>157</v>
      </c>
      <c r="Q16" s="7"/>
      <c r="U16" s="4"/>
      <c r="W16" s="592" t="s">
        <v>74</v>
      </c>
      <c r="X16" s="594" t="s">
        <v>150</v>
      </c>
      <c r="Y16" s="596" t="s">
        <v>158</v>
      </c>
      <c r="Z16" s="597"/>
      <c r="AA16" s="596" t="s">
        <v>159</v>
      </c>
      <c r="AB16" s="597"/>
      <c r="AC16" s="596" t="s">
        <v>160</v>
      </c>
      <c r="AD16" s="597"/>
      <c r="AE16" s="596" t="s">
        <v>241</v>
      </c>
      <c r="AF16" s="597"/>
      <c r="AG16" s="596" t="s">
        <v>242</v>
      </c>
      <c r="AH16" s="597"/>
      <c r="AI16" s="596" t="s">
        <v>243</v>
      </c>
      <c r="AJ16" s="597"/>
      <c r="AK16" s="596" t="s">
        <v>244</v>
      </c>
      <c r="AL16" s="597"/>
      <c r="AM16" s="166" t="s">
        <v>266</v>
      </c>
    </row>
    <row r="17" spans="1:39" s="5" customFormat="1" ht="24.75" customHeight="1" x14ac:dyDescent="0.25">
      <c r="A17" s="4"/>
      <c r="C17" s="118">
        <v>1</v>
      </c>
      <c r="E17" s="89" t="s">
        <v>267</v>
      </c>
      <c r="F17" s="63"/>
      <c r="G17" s="7"/>
      <c r="H17" s="603" t="s">
        <v>268</v>
      </c>
      <c r="I17" s="604"/>
      <c r="J17" s="7"/>
      <c r="K17" s="600">
        <v>2025000000</v>
      </c>
      <c r="L17" s="601"/>
      <c r="M17" s="7"/>
      <c r="N17" s="7"/>
      <c r="O17" s="7"/>
      <c r="P17" s="7"/>
      <c r="Q17" s="7"/>
      <c r="R17" s="263" t="s">
        <v>269</v>
      </c>
      <c r="S17" s="263" t="s">
        <v>270</v>
      </c>
      <c r="U17" s="4"/>
      <c r="W17" s="593"/>
      <c r="X17" s="595"/>
      <c r="Y17" s="167" t="s">
        <v>162</v>
      </c>
      <c r="Z17" s="167" t="s">
        <v>83</v>
      </c>
      <c r="AA17" s="167" t="s">
        <v>162</v>
      </c>
      <c r="AB17" s="167" t="s">
        <v>83</v>
      </c>
      <c r="AC17" s="167" t="s">
        <v>162</v>
      </c>
      <c r="AD17" s="167" t="s">
        <v>83</v>
      </c>
      <c r="AE17" s="167" t="s">
        <v>162</v>
      </c>
      <c r="AF17" s="167" t="s">
        <v>83</v>
      </c>
      <c r="AG17" s="167" t="s">
        <v>162</v>
      </c>
      <c r="AH17" s="167" t="s">
        <v>83</v>
      </c>
      <c r="AI17" s="167" t="s">
        <v>162</v>
      </c>
      <c r="AJ17" s="167" t="s">
        <v>83</v>
      </c>
      <c r="AK17" s="167" t="s">
        <v>162</v>
      </c>
      <c r="AL17" s="167" t="s">
        <v>83</v>
      </c>
      <c r="AM17" s="167" t="s">
        <v>162</v>
      </c>
    </row>
    <row r="18" spans="1:39" s="5" customFormat="1" ht="24" customHeight="1" x14ac:dyDescent="0.25">
      <c r="A18" s="4"/>
      <c r="E18" s="585" t="s">
        <v>271</v>
      </c>
      <c r="F18" s="585"/>
      <c r="G18" s="585"/>
      <c r="H18" s="585"/>
      <c r="I18" s="585"/>
      <c r="J18" s="585"/>
      <c r="K18" s="585"/>
      <c r="L18" s="585"/>
      <c r="M18" s="7"/>
      <c r="O18" s="7"/>
      <c r="P18" s="585" t="s">
        <v>272</v>
      </c>
      <c r="Q18" s="585"/>
      <c r="R18" s="585"/>
      <c r="S18" s="585"/>
      <c r="U18" s="4"/>
      <c r="W18" s="148">
        <v>1</v>
      </c>
      <c r="X18" s="149" t="s">
        <v>68</v>
      </c>
      <c r="Y18" s="168">
        <v>104326875</v>
      </c>
      <c r="Z18" s="169">
        <v>45448</v>
      </c>
      <c r="AA18" s="168">
        <v>120822113</v>
      </c>
      <c r="AB18" s="169">
        <v>45447</v>
      </c>
      <c r="AC18" s="170">
        <v>120822113</v>
      </c>
      <c r="AD18" s="169">
        <v>45453</v>
      </c>
      <c r="AE18" s="170">
        <v>119271165</v>
      </c>
      <c r="AF18" s="169">
        <v>45453</v>
      </c>
      <c r="AG18" s="170">
        <v>125931165</v>
      </c>
      <c r="AH18" s="169">
        <v>45478</v>
      </c>
      <c r="AI18" s="171">
        <v>117700831</v>
      </c>
      <c r="AJ18" s="169">
        <v>45503</v>
      </c>
      <c r="AK18" s="171">
        <v>137102987</v>
      </c>
      <c r="AL18" s="169">
        <v>45537</v>
      </c>
      <c r="AM18" s="171">
        <v>120822113</v>
      </c>
    </row>
    <row r="19" spans="1:39" s="5" customFormat="1" ht="24" customHeight="1" x14ac:dyDescent="0.25">
      <c r="A19" s="4"/>
      <c r="E19" s="7"/>
      <c r="F19" s="32"/>
      <c r="G19" s="7"/>
      <c r="H19" s="7"/>
      <c r="I19" s="7"/>
      <c r="J19" s="7"/>
      <c r="K19" s="7"/>
      <c r="L19" s="7"/>
      <c r="M19" s="7"/>
      <c r="N19" s="7"/>
      <c r="O19" s="7"/>
      <c r="U19" s="4"/>
      <c r="W19" s="148">
        <v>2</v>
      </c>
      <c r="X19" s="149" t="s">
        <v>247</v>
      </c>
      <c r="Y19" s="168">
        <v>5125475035</v>
      </c>
      <c r="Z19" s="169">
        <v>45447</v>
      </c>
      <c r="AA19" s="168">
        <v>4994030423</v>
      </c>
      <c r="AB19" s="169">
        <v>45448</v>
      </c>
      <c r="AC19" s="170">
        <v>3092957200</v>
      </c>
      <c r="AD19" s="169">
        <v>45453</v>
      </c>
      <c r="AE19" s="170">
        <v>4170440403</v>
      </c>
      <c r="AF19" s="169">
        <v>45453</v>
      </c>
      <c r="AG19" s="170">
        <v>4283168524</v>
      </c>
      <c r="AH19" s="169">
        <v>45483</v>
      </c>
      <c r="AI19" s="171">
        <v>3889605481</v>
      </c>
      <c r="AJ19" s="169">
        <v>45537</v>
      </c>
      <c r="AK19" s="171">
        <v>4118725809</v>
      </c>
      <c r="AL19" s="169">
        <v>45537</v>
      </c>
      <c r="AM19" s="171">
        <v>3923291245</v>
      </c>
    </row>
    <row r="20" spans="1:39" s="5" customFormat="1" ht="24" customHeight="1" x14ac:dyDescent="0.25">
      <c r="A20" s="4"/>
      <c r="E20" s="7"/>
      <c r="F20" s="32"/>
      <c r="G20" s="7"/>
      <c r="H20" s="7"/>
      <c r="I20" s="7"/>
      <c r="J20" s="7"/>
      <c r="K20" s="7"/>
      <c r="L20" s="7"/>
      <c r="M20" s="7"/>
      <c r="N20" s="7"/>
      <c r="O20" s="7"/>
      <c r="P20" s="585" t="s">
        <v>273</v>
      </c>
      <c r="Q20" s="585"/>
      <c r="R20" s="585"/>
      <c r="S20" s="585"/>
      <c r="U20" s="4"/>
      <c r="W20" s="172">
        <v>3</v>
      </c>
      <c r="X20" s="149" t="s">
        <v>73</v>
      </c>
      <c r="Y20" s="168">
        <v>1010173466</v>
      </c>
      <c r="Z20" s="169">
        <v>45447</v>
      </c>
      <c r="AA20" s="179"/>
      <c r="AB20" s="180"/>
      <c r="AC20" s="170">
        <v>1014998110</v>
      </c>
      <c r="AD20" s="169">
        <v>45482</v>
      </c>
      <c r="AE20" s="170">
        <v>1017642966</v>
      </c>
      <c r="AF20" s="169">
        <v>45453</v>
      </c>
      <c r="AG20" s="170">
        <v>1018572116</v>
      </c>
      <c r="AH20" s="169">
        <v>45478</v>
      </c>
      <c r="AI20" s="171">
        <v>1021671243</v>
      </c>
      <c r="AJ20" s="169">
        <v>45498</v>
      </c>
      <c r="AK20" s="171">
        <v>1068721791</v>
      </c>
      <c r="AL20" s="169">
        <v>45537</v>
      </c>
      <c r="AM20" s="171">
        <v>1173658151</v>
      </c>
    </row>
    <row r="21" spans="1:39" s="5" customFormat="1" ht="17.25" customHeight="1" x14ac:dyDescent="0.2">
      <c r="A21" s="4"/>
      <c r="G21" s="7"/>
      <c r="H21" s="7"/>
      <c r="I21" s="7"/>
      <c r="J21" s="7"/>
      <c r="K21" s="7"/>
      <c r="N21" s="91" t="s">
        <v>274</v>
      </c>
      <c r="U21" s="4"/>
      <c r="W21" s="148">
        <v>4</v>
      </c>
      <c r="X21" s="149" t="s">
        <v>81</v>
      </c>
      <c r="Y21" s="168">
        <v>4182558944</v>
      </c>
      <c r="Z21" s="169">
        <v>45503</v>
      </c>
      <c r="AA21" s="168">
        <v>3985234920</v>
      </c>
      <c r="AB21" s="169">
        <v>45503</v>
      </c>
      <c r="AC21" s="170">
        <v>3868127128</v>
      </c>
      <c r="AD21" s="169">
        <v>45503</v>
      </c>
      <c r="AE21" s="170">
        <v>2852697024</v>
      </c>
      <c r="AF21" s="169">
        <v>45547</v>
      </c>
      <c r="AG21" s="170">
        <v>2867299387</v>
      </c>
      <c r="AH21" s="169">
        <v>45572</v>
      </c>
      <c r="AI21" s="171">
        <v>2871279373</v>
      </c>
      <c r="AJ21" s="169">
        <v>45588</v>
      </c>
      <c r="AK21" s="171">
        <v>3088717916</v>
      </c>
      <c r="AL21" s="169">
        <v>45647</v>
      </c>
      <c r="AM21" s="171">
        <v>2700119869</v>
      </c>
    </row>
    <row r="22" spans="1:39" s="5" customFormat="1" ht="24" customHeight="1" x14ac:dyDescent="0.25">
      <c r="A22" s="4"/>
      <c r="G22" s="7"/>
      <c r="H22" s="7"/>
      <c r="I22" s="7"/>
      <c r="J22"/>
      <c r="K22" s="7"/>
      <c r="L22" s="7"/>
      <c r="M22" s="7"/>
      <c r="N22" s="109" t="s">
        <v>275</v>
      </c>
      <c r="O22" s="7"/>
      <c r="U22" s="4"/>
      <c r="W22" s="172">
        <v>5</v>
      </c>
      <c r="X22" s="149" t="s">
        <v>248</v>
      </c>
      <c r="Y22" s="168">
        <v>3264131117</v>
      </c>
      <c r="Z22" s="169">
        <v>45447</v>
      </c>
      <c r="AA22" s="168">
        <v>4049315477</v>
      </c>
      <c r="AB22" s="169">
        <v>45572</v>
      </c>
      <c r="AC22" s="170">
        <v>3321691352</v>
      </c>
      <c r="AD22" s="169">
        <v>45572</v>
      </c>
      <c r="AE22" s="170">
        <v>3314038049</v>
      </c>
      <c r="AF22" s="169">
        <v>45588</v>
      </c>
      <c r="AG22" s="170">
        <v>3313283299</v>
      </c>
      <c r="AH22" s="169">
        <v>45572</v>
      </c>
      <c r="AI22" s="171">
        <v>3097846694</v>
      </c>
      <c r="AJ22" s="169">
        <v>45572</v>
      </c>
      <c r="AK22" s="171">
        <v>2808245780</v>
      </c>
      <c r="AL22" s="169">
        <v>45588</v>
      </c>
      <c r="AM22" s="171">
        <v>2857761215</v>
      </c>
    </row>
    <row r="23" spans="1:39" s="5" customFormat="1" ht="24" customHeight="1" x14ac:dyDescent="0.25">
      <c r="A23" s="4"/>
      <c r="I23" s="50"/>
      <c r="L23" s="7"/>
      <c r="M23" s="7"/>
      <c r="N23" s="7"/>
      <c r="O23" s="7"/>
      <c r="U23" s="4"/>
      <c r="W23" s="172">
        <v>6</v>
      </c>
      <c r="X23" s="149" t="s">
        <v>249</v>
      </c>
      <c r="Y23" s="168">
        <v>2134558826</v>
      </c>
      <c r="Z23" s="169">
        <v>45447</v>
      </c>
      <c r="AA23" s="168">
        <v>1922455376</v>
      </c>
      <c r="AB23" s="169">
        <v>45447</v>
      </c>
      <c r="AC23" s="170">
        <v>1885058584</v>
      </c>
      <c r="AD23" s="169">
        <v>45453</v>
      </c>
      <c r="AE23" s="170">
        <v>1846693609</v>
      </c>
      <c r="AF23" s="169">
        <v>45481</v>
      </c>
      <c r="AG23" s="170">
        <v>1850588609</v>
      </c>
      <c r="AH23" s="169">
        <v>45481</v>
      </c>
      <c r="AI23" s="171">
        <v>2077047109</v>
      </c>
      <c r="AJ23" s="169">
        <v>45511</v>
      </c>
      <c r="AK23" s="171">
        <v>2158102253</v>
      </c>
      <c r="AL23" s="169">
        <v>45537</v>
      </c>
      <c r="AM23" s="171">
        <v>1943456579</v>
      </c>
    </row>
    <row r="24" spans="1:39" s="5" customFormat="1" ht="24" customHeight="1" x14ac:dyDescent="0.25">
      <c r="A24" s="4"/>
      <c r="E24" s="92"/>
      <c r="F24" s="32" t="s">
        <v>276</v>
      </c>
      <c r="G24" s="7"/>
      <c r="H24" s="7"/>
      <c r="I24" s="7"/>
      <c r="J24" s="7"/>
      <c r="K24" s="7"/>
      <c r="L24" s="7"/>
      <c r="M24" s="7"/>
      <c r="N24" s="7"/>
      <c r="O24" s="7"/>
      <c r="U24" s="4"/>
      <c r="W24" s="148">
        <v>7</v>
      </c>
      <c r="X24" s="149" t="s">
        <v>250</v>
      </c>
      <c r="Y24" s="168">
        <v>42457500</v>
      </c>
      <c r="Z24" s="169">
        <v>45447</v>
      </c>
      <c r="AA24" s="168">
        <v>42457500</v>
      </c>
      <c r="AB24" s="169">
        <v>45447</v>
      </c>
      <c r="AC24" s="170">
        <v>42457500</v>
      </c>
      <c r="AD24" s="169">
        <v>45453</v>
      </c>
      <c r="AE24" s="170">
        <v>42457500</v>
      </c>
      <c r="AF24" s="169">
        <v>45491</v>
      </c>
      <c r="AG24" s="181"/>
      <c r="AH24" s="180"/>
      <c r="AI24" s="171">
        <v>42457500</v>
      </c>
      <c r="AJ24" s="169">
        <v>45616</v>
      </c>
      <c r="AK24" s="171">
        <v>42457500</v>
      </c>
      <c r="AL24" s="169">
        <v>45616</v>
      </c>
      <c r="AM24" s="171">
        <v>42457500</v>
      </c>
    </row>
    <row r="25" spans="1:39" s="5" customFormat="1" ht="24" customHeight="1" x14ac:dyDescent="0.25">
      <c r="A25" s="4"/>
      <c r="E25" s="262" t="s">
        <v>277</v>
      </c>
      <c r="L25" s="7"/>
      <c r="M25" s="7"/>
      <c r="N25" s="7"/>
      <c r="O25" s="7"/>
      <c r="U25" s="3"/>
      <c r="V25"/>
      <c r="W25" s="148">
        <v>8</v>
      </c>
      <c r="X25" s="149" t="s">
        <v>100</v>
      </c>
      <c r="Y25" s="168">
        <v>253335702</v>
      </c>
      <c r="Z25" s="169">
        <v>45447</v>
      </c>
      <c r="AA25" s="168">
        <v>252655380</v>
      </c>
      <c r="AB25" s="169">
        <v>45447</v>
      </c>
      <c r="AC25" s="170">
        <v>254976289</v>
      </c>
      <c r="AD25" s="169">
        <v>45453</v>
      </c>
      <c r="AE25" s="170">
        <v>254976289</v>
      </c>
      <c r="AF25" s="169">
        <v>45453</v>
      </c>
      <c r="AG25" s="170">
        <v>252655380</v>
      </c>
      <c r="AH25" s="169">
        <v>45478</v>
      </c>
      <c r="AI25" s="171">
        <v>254770018</v>
      </c>
      <c r="AJ25" s="169">
        <v>45511</v>
      </c>
      <c r="AK25" s="171">
        <v>368981687</v>
      </c>
      <c r="AL25" s="169">
        <v>45588</v>
      </c>
      <c r="AM25" s="171">
        <v>536489476</v>
      </c>
    </row>
    <row r="26" spans="1:39" s="5" customFormat="1" ht="24" customHeight="1" x14ac:dyDescent="0.25">
      <c r="A26" s="4"/>
      <c r="E26" s="262" t="s">
        <v>278</v>
      </c>
      <c r="U26" s="3"/>
      <c r="V26"/>
      <c r="W26" s="148">
        <v>9</v>
      </c>
      <c r="X26" s="149" t="s">
        <v>251</v>
      </c>
      <c r="Y26" s="168">
        <v>42745000</v>
      </c>
      <c r="Z26" s="169">
        <v>45447</v>
      </c>
      <c r="AA26" s="168">
        <v>43022500</v>
      </c>
      <c r="AB26" s="169">
        <v>45481</v>
      </c>
      <c r="AC26" s="170">
        <v>43011400</v>
      </c>
      <c r="AD26" s="169">
        <v>45453</v>
      </c>
      <c r="AE26" s="170">
        <v>43022500</v>
      </c>
      <c r="AF26" s="169">
        <v>45491</v>
      </c>
      <c r="AG26" s="170">
        <v>43022500</v>
      </c>
      <c r="AH26" s="169">
        <v>45520</v>
      </c>
      <c r="AI26" s="171">
        <v>43022500</v>
      </c>
      <c r="AJ26" s="169">
        <v>45532</v>
      </c>
      <c r="AK26" s="171">
        <v>43012500</v>
      </c>
      <c r="AL26" s="169">
        <v>45586</v>
      </c>
      <c r="AM26" s="171">
        <v>43290000</v>
      </c>
    </row>
    <row r="27" spans="1:39" ht="21" customHeight="1" x14ac:dyDescent="0.25">
      <c r="U27" s="3"/>
      <c r="W27" s="148">
        <v>10</v>
      </c>
      <c r="X27" s="149" t="s">
        <v>252</v>
      </c>
      <c r="Y27" s="168">
        <v>1017370500</v>
      </c>
      <c r="Z27" s="169">
        <v>45478</v>
      </c>
      <c r="AA27" s="168">
        <v>1418909442</v>
      </c>
      <c r="AB27" s="169">
        <v>45447</v>
      </c>
      <c r="AC27" s="170">
        <v>1155566437</v>
      </c>
      <c r="AD27" s="169">
        <v>45453</v>
      </c>
      <c r="AE27" s="170">
        <v>1165641551</v>
      </c>
      <c r="AF27" s="169">
        <v>45453</v>
      </c>
      <c r="AG27" s="170">
        <v>1161949167</v>
      </c>
      <c r="AH27" s="169">
        <v>45483</v>
      </c>
      <c r="AI27" s="171">
        <v>1226743413</v>
      </c>
      <c r="AJ27" s="180"/>
      <c r="AK27" s="171">
        <v>1226743413</v>
      </c>
      <c r="AL27" s="169">
        <v>45537</v>
      </c>
      <c r="AM27" s="171">
        <v>1191791757</v>
      </c>
    </row>
    <row r="28" spans="1:39" ht="21" customHeight="1" x14ac:dyDescent="0.25">
      <c r="E28" t="s">
        <v>279</v>
      </c>
      <c r="U28" s="3"/>
      <c r="W28" s="148">
        <v>11</v>
      </c>
      <c r="X28" s="149" t="s">
        <v>253</v>
      </c>
      <c r="Y28" s="168">
        <v>1023684962</v>
      </c>
      <c r="Z28" s="169">
        <v>45447</v>
      </c>
      <c r="AA28" s="168">
        <v>1026203058.61</v>
      </c>
      <c r="AB28" s="169">
        <v>45448</v>
      </c>
      <c r="AC28" s="170">
        <v>1036413053</v>
      </c>
      <c r="AD28" s="169">
        <v>45453</v>
      </c>
      <c r="AE28" s="170">
        <v>1035591064</v>
      </c>
      <c r="AF28" s="169">
        <v>45453</v>
      </c>
      <c r="AG28" s="170">
        <v>1092613250</v>
      </c>
      <c r="AH28" s="169">
        <v>45478</v>
      </c>
      <c r="AI28" s="171">
        <v>1065035372</v>
      </c>
      <c r="AJ28" s="169">
        <v>45532</v>
      </c>
      <c r="AK28" s="171">
        <v>1082910972</v>
      </c>
      <c r="AL28" s="169">
        <v>45537</v>
      </c>
      <c r="AM28" s="171">
        <v>1075237214</v>
      </c>
    </row>
    <row r="29" spans="1:39" ht="21" customHeight="1" x14ac:dyDescent="0.25">
      <c r="C29">
        <v>1</v>
      </c>
      <c r="E29" s="5" t="s">
        <v>280</v>
      </c>
      <c r="U29" s="3"/>
      <c r="W29" s="148">
        <v>12</v>
      </c>
      <c r="X29" s="173" t="s">
        <v>254</v>
      </c>
      <c r="Y29" s="174"/>
      <c r="Z29" s="174"/>
      <c r="AA29" s="168"/>
      <c r="AB29" s="174"/>
      <c r="AC29" s="170"/>
      <c r="AD29" s="170"/>
      <c r="AE29" s="170"/>
      <c r="AF29" s="170"/>
      <c r="AG29" s="170">
        <v>415547484</v>
      </c>
      <c r="AH29" s="169">
        <v>45491</v>
      </c>
      <c r="AI29" s="171">
        <v>396502250</v>
      </c>
      <c r="AJ29" s="169">
        <v>45572</v>
      </c>
      <c r="AK29" s="171">
        <v>812663872</v>
      </c>
      <c r="AL29" s="169">
        <v>45537</v>
      </c>
      <c r="AM29" s="171">
        <v>540441810</v>
      </c>
    </row>
    <row r="30" spans="1:39" ht="15.75" x14ac:dyDescent="0.25">
      <c r="C30">
        <v>2</v>
      </c>
      <c r="E30" s="5" t="s">
        <v>281</v>
      </c>
      <c r="U30" s="3"/>
      <c r="W30" s="148">
        <v>13</v>
      </c>
      <c r="X30" s="149" t="s">
        <v>255</v>
      </c>
      <c r="Y30" s="174"/>
      <c r="Z30" s="176"/>
      <c r="AA30" s="168"/>
      <c r="AB30" s="176"/>
      <c r="AC30" s="170"/>
      <c r="AD30" s="176"/>
      <c r="AE30" s="170">
        <v>410597375.66666698</v>
      </c>
      <c r="AF30" s="169">
        <v>45418</v>
      </c>
      <c r="AG30" s="170">
        <v>179376000</v>
      </c>
      <c r="AH30" s="169">
        <v>45478</v>
      </c>
      <c r="AI30" s="171">
        <v>179376000</v>
      </c>
      <c r="AJ30" s="169">
        <v>45537</v>
      </c>
      <c r="AK30" s="171">
        <v>179171929</v>
      </c>
      <c r="AL30" s="169">
        <v>45572</v>
      </c>
      <c r="AM30" s="171">
        <v>179330700</v>
      </c>
    </row>
    <row r="31" spans="1:39" ht="15.75" x14ac:dyDescent="0.25">
      <c r="C31">
        <v>3</v>
      </c>
      <c r="E31" t="s">
        <v>282</v>
      </c>
      <c r="U31" s="3"/>
      <c r="W31" s="177"/>
      <c r="X31" s="177" t="s">
        <v>256</v>
      </c>
      <c r="Y31" s="178">
        <v>18200817927</v>
      </c>
      <c r="Z31" s="178"/>
      <c r="AA31" s="178">
        <v>18868363216.610001</v>
      </c>
      <c r="AB31" s="178"/>
      <c r="AC31" s="178">
        <v>15836079166</v>
      </c>
      <c r="AD31" s="178"/>
      <c r="AE31" s="178">
        <v>16273069495.666668</v>
      </c>
      <c r="AF31" s="178"/>
      <c r="AG31" s="178">
        <v>16646464381</v>
      </c>
      <c r="AH31" s="178"/>
      <c r="AI31" s="178">
        <v>16283057784</v>
      </c>
      <c r="AJ31" s="178"/>
      <c r="AK31" s="178">
        <v>17135558409</v>
      </c>
      <c r="AL31" s="178"/>
      <c r="AM31" s="178">
        <v>16328147629</v>
      </c>
    </row>
    <row r="32" spans="1:39" ht="15" customHeight="1" x14ac:dyDescent="0.25">
      <c r="C32">
        <v>4</v>
      </c>
      <c r="E32" t="s">
        <v>283</v>
      </c>
      <c r="U32" s="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21:48" ht="15" customHeight="1" x14ac:dyDescent="0.25">
      <c r="U33" s="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21:48" x14ac:dyDescent="0.25">
      <c r="U34" s="3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21:48" x14ac:dyDescent="0.25">
      <c r="U35" s="3"/>
      <c r="W35" s="23" t="s">
        <v>236</v>
      </c>
      <c r="Y35" s="23"/>
      <c r="Z35" s="23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21:48" x14ac:dyDescent="0.25">
      <c r="U36" s="3"/>
      <c r="W36" s="23"/>
      <c r="X36" s="23"/>
      <c r="Y36" s="23"/>
      <c r="Z36" s="23"/>
      <c r="AG36" s="5"/>
      <c r="AH36" s="5"/>
      <c r="AI36" s="5"/>
      <c r="AJ36" s="5"/>
      <c r="AK36" s="5"/>
      <c r="AL36" s="5"/>
      <c r="AM36" s="5"/>
    </row>
    <row r="37" spans="21:48" x14ac:dyDescent="0.25">
      <c r="U37" s="3"/>
      <c r="W37" s="30"/>
      <c r="X37" s="37"/>
      <c r="Y37" s="37"/>
      <c r="Z37" s="24"/>
      <c r="AG37" s="5"/>
      <c r="AH37" s="5"/>
      <c r="AI37" s="5"/>
      <c r="AJ37" s="5"/>
      <c r="AK37" s="5"/>
      <c r="AL37" s="5"/>
      <c r="AM37" s="5"/>
    </row>
    <row r="38" spans="21:48" x14ac:dyDescent="0.25">
      <c r="U38" s="3"/>
      <c r="W38" s="25"/>
      <c r="X38" s="38"/>
      <c r="Y38" s="38"/>
      <c r="Z38" s="26"/>
    </row>
    <row r="39" spans="21:48" x14ac:dyDescent="0.25">
      <c r="U39" s="3"/>
      <c r="W39" s="27"/>
      <c r="X39" s="28"/>
      <c r="Y39" s="28"/>
      <c r="Z39" s="29"/>
    </row>
    <row r="40" spans="21:48" x14ac:dyDescent="0.25">
      <c r="W40" s="23"/>
      <c r="X40" s="23"/>
      <c r="Y40" s="23"/>
      <c r="Z40" s="23"/>
    </row>
    <row r="41" spans="21:48" ht="15.75" x14ac:dyDescent="0.25">
      <c r="AN41" s="167" t="s">
        <v>83</v>
      </c>
      <c r="AO41" s="167" t="s">
        <v>162</v>
      </c>
      <c r="AP41" s="167" t="s">
        <v>83</v>
      </c>
      <c r="AQ41" s="167" t="s">
        <v>162</v>
      </c>
      <c r="AR41" s="167" t="s">
        <v>83</v>
      </c>
      <c r="AS41" s="167" t="s">
        <v>162</v>
      </c>
      <c r="AT41" s="167" t="s">
        <v>83</v>
      </c>
      <c r="AU41" s="167" t="s">
        <v>162</v>
      </c>
      <c r="AV41" s="167" t="s">
        <v>83</v>
      </c>
    </row>
    <row r="42" spans="21:48" ht="15.75" customHeight="1" x14ac:dyDescent="0.25">
      <c r="AN42" s="169">
        <v>45572</v>
      </c>
      <c r="AO42" s="171">
        <v>125206613</v>
      </c>
      <c r="AP42" s="169">
        <v>45588</v>
      </c>
      <c r="AQ42" s="171">
        <v>127759613</v>
      </c>
      <c r="AR42" s="169">
        <v>45647</v>
      </c>
      <c r="AS42" s="171">
        <v>158839613</v>
      </c>
      <c r="AT42" s="169">
        <v>45709</v>
      </c>
      <c r="AU42" s="171">
        <v>138582113</v>
      </c>
      <c r="AV42" s="169">
        <v>45709</v>
      </c>
    </row>
    <row r="43" spans="21:48" ht="15.75" x14ac:dyDescent="0.25">
      <c r="AA43" t="s">
        <v>284</v>
      </c>
      <c r="AB43" t="s">
        <v>285</v>
      </c>
      <c r="AC43" t="s">
        <v>285</v>
      </c>
      <c r="AD43" t="s">
        <v>284</v>
      </c>
      <c r="AN43" s="169">
        <v>45588</v>
      </c>
      <c r="AO43" s="171">
        <v>4095529037</v>
      </c>
      <c r="AP43" s="169">
        <v>45647</v>
      </c>
      <c r="AQ43" s="171">
        <v>4370422175</v>
      </c>
      <c r="AR43" s="169">
        <v>45649</v>
      </c>
      <c r="AS43" s="171">
        <v>4283911201</v>
      </c>
      <c r="AT43" s="169">
        <v>45688</v>
      </c>
      <c r="AU43" s="171">
        <v>0</v>
      </c>
      <c r="AV43" s="169"/>
    </row>
    <row r="44" spans="21:48" ht="15.75" customHeight="1" x14ac:dyDescent="0.25">
      <c r="AB44" t="s">
        <v>286</v>
      </c>
      <c r="AD44" t="s">
        <v>287</v>
      </c>
      <c r="AN44" s="169">
        <v>45572</v>
      </c>
      <c r="AO44" s="171">
        <v>1315393105</v>
      </c>
      <c r="AP44" s="169">
        <v>45687</v>
      </c>
      <c r="AQ44" s="171">
        <v>1522898393</v>
      </c>
      <c r="AR44" s="169">
        <v>45649</v>
      </c>
      <c r="AS44" s="171">
        <v>1751265623</v>
      </c>
      <c r="AT44" s="169">
        <v>45687</v>
      </c>
      <c r="AU44" s="171">
        <v>1871636027</v>
      </c>
      <c r="AV44" s="169"/>
    </row>
    <row r="45" spans="21:48" ht="15.75" x14ac:dyDescent="0.25">
      <c r="AA45" t="s">
        <v>288</v>
      </c>
      <c r="AB45" t="s">
        <v>289</v>
      </c>
      <c r="AN45" s="169">
        <v>45687</v>
      </c>
      <c r="AO45" s="171">
        <v>2731504045</v>
      </c>
      <c r="AP45" s="169">
        <v>45687</v>
      </c>
      <c r="AQ45" s="171">
        <v>2877371885</v>
      </c>
      <c r="AR45" s="169">
        <v>45687</v>
      </c>
      <c r="AS45" s="171">
        <v>2891459756</v>
      </c>
      <c r="AT45" s="169"/>
      <c r="AU45" s="171">
        <v>0</v>
      </c>
      <c r="AV45" s="169"/>
    </row>
    <row r="46" spans="21:48" ht="15.75" customHeight="1" x14ac:dyDescent="0.25">
      <c r="AB46" t="s">
        <v>290</v>
      </c>
      <c r="AN46" s="169">
        <v>45588</v>
      </c>
      <c r="AO46" s="171">
        <v>3171713441</v>
      </c>
      <c r="AP46" s="169">
        <v>45709</v>
      </c>
      <c r="AQ46" s="171">
        <v>3140906050</v>
      </c>
      <c r="AR46" s="169">
        <v>45702</v>
      </c>
      <c r="AS46" s="171">
        <v>3132618753</v>
      </c>
      <c r="AT46" s="169">
        <v>45702</v>
      </c>
      <c r="AU46" s="171">
        <v>3100569385</v>
      </c>
      <c r="AV46" s="169">
        <v>45709</v>
      </c>
    </row>
    <row r="47" spans="21:48" ht="15.75" x14ac:dyDescent="0.25">
      <c r="AN47" s="169">
        <v>45537</v>
      </c>
      <c r="AO47" s="171">
        <v>2045986776</v>
      </c>
      <c r="AP47" s="169">
        <v>45647</v>
      </c>
      <c r="AQ47" s="171">
        <v>2073466915</v>
      </c>
      <c r="AR47" s="169">
        <v>45647</v>
      </c>
      <c r="AS47" s="171">
        <v>2156442109</v>
      </c>
      <c r="AT47" s="169">
        <v>45688</v>
      </c>
      <c r="AU47" s="171">
        <v>2543867609</v>
      </c>
      <c r="AV47" s="169">
        <v>45702</v>
      </c>
    </row>
    <row r="48" spans="21:48" ht="15.75" x14ac:dyDescent="0.25">
      <c r="AN48" s="169">
        <v>45616</v>
      </c>
      <c r="AO48" s="171">
        <v>42457500</v>
      </c>
      <c r="AP48" s="169">
        <v>45616</v>
      </c>
      <c r="AQ48" s="171">
        <v>42457500</v>
      </c>
      <c r="AR48" s="169">
        <v>45709</v>
      </c>
      <c r="AS48" s="171">
        <v>42457500</v>
      </c>
      <c r="AT48" s="169">
        <v>45709</v>
      </c>
      <c r="AU48" s="171"/>
      <c r="AV48" s="169"/>
    </row>
    <row r="49" spans="40:48" ht="15.75" x14ac:dyDescent="0.25">
      <c r="AN49" s="169">
        <v>45588</v>
      </c>
      <c r="AO49" s="171">
        <v>673822981</v>
      </c>
      <c r="AP49" s="169">
        <v>45647</v>
      </c>
      <c r="AQ49" s="171">
        <v>999402076</v>
      </c>
      <c r="AR49" s="169">
        <v>45687</v>
      </c>
      <c r="AS49" s="171">
        <v>1045240659</v>
      </c>
      <c r="AT49" s="169">
        <v>45687</v>
      </c>
      <c r="AU49" s="171">
        <v>1154793968</v>
      </c>
      <c r="AV49" s="169"/>
    </row>
    <row r="50" spans="40:48" ht="15.75" x14ac:dyDescent="0.25">
      <c r="AN50" s="169">
        <v>45712</v>
      </c>
      <c r="AO50" s="171">
        <v>57442500</v>
      </c>
      <c r="AP50" s="169">
        <v>45712</v>
      </c>
      <c r="AQ50" s="171">
        <v>43577500</v>
      </c>
      <c r="AR50" s="169">
        <v>45712</v>
      </c>
      <c r="AS50" s="171">
        <v>0</v>
      </c>
      <c r="AT50" s="169"/>
      <c r="AU50" s="171"/>
      <c r="AV50" s="169"/>
    </row>
    <row r="51" spans="40:48" ht="15.75" x14ac:dyDescent="0.25">
      <c r="AN51" s="169">
        <v>45588</v>
      </c>
      <c r="AO51" s="171">
        <v>1200990672</v>
      </c>
      <c r="AP51" s="169">
        <v>45647</v>
      </c>
      <c r="AQ51" s="171">
        <v>1191057141</v>
      </c>
      <c r="AR51" s="169">
        <v>45649</v>
      </c>
      <c r="AS51" s="171">
        <v>1205210278</v>
      </c>
      <c r="AT51" s="169">
        <v>45709</v>
      </c>
      <c r="AU51" s="171"/>
      <c r="AV51" s="169"/>
    </row>
    <row r="52" spans="40:48" ht="15.75" x14ac:dyDescent="0.25">
      <c r="AN52" s="169">
        <v>45572</v>
      </c>
      <c r="AO52" s="171">
        <v>1080752213</v>
      </c>
      <c r="AP52" s="169">
        <v>45647</v>
      </c>
      <c r="AQ52" s="171">
        <v>1082256285</v>
      </c>
      <c r="AR52" s="169">
        <v>45649</v>
      </c>
      <c r="AS52" s="171">
        <v>1095149358</v>
      </c>
      <c r="AT52" s="169">
        <v>45709</v>
      </c>
      <c r="AU52" s="171">
        <v>1133049701</v>
      </c>
      <c r="AV52" s="169">
        <v>45709</v>
      </c>
    </row>
    <row r="53" spans="40:48" ht="15.75" x14ac:dyDescent="0.25">
      <c r="AN53" s="169">
        <v>45572</v>
      </c>
      <c r="AO53" s="175">
        <v>539965946</v>
      </c>
      <c r="AP53" s="169">
        <v>45687</v>
      </c>
      <c r="AQ53" s="175">
        <v>651216147</v>
      </c>
      <c r="AR53" s="169">
        <v>45649</v>
      </c>
      <c r="AS53" s="175">
        <v>1030523504</v>
      </c>
      <c r="AT53" s="169">
        <v>45681</v>
      </c>
      <c r="AU53" s="175"/>
      <c r="AV53" s="169"/>
    </row>
    <row r="54" spans="40:48" ht="15.75" x14ac:dyDescent="0.25">
      <c r="AN54" s="169">
        <v>45572</v>
      </c>
      <c r="AO54" s="175">
        <v>179376000</v>
      </c>
      <c r="AP54" s="169">
        <v>45647</v>
      </c>
      <c r="AQ54" s="175">
        <v>179353698</v>
      </c>
      <c r="AR54" s="169">
        <v>45676</v>
      </c>
      <c r="AS54" s="175">
        <v>217671000</v>
      </c>
      <c r="AT54" s="169">
        <v>45681</v>
      </c>
      <c r="AU54" s="175"/>
      <c r="AV54" s="169"/>
    </row>
    <row r="55" spans="40:48" ht="15.75" x14ac:dyDescent="0.25">
      <c r="AN55" s="178"/>
      <c r="AO55" s="178">
        <v>17260140829</v>
      </c>
      <c r="AP55" s="178"/>
      <c r="AQ55" s="178">
        <v>18302145378</v>
      </c>
      <c r="AR55" s="178"/>
      <c r="AS55" s="178">
        <v>19010789354</v>
      </c>
      <c r="AT55" s="178"/>
      <c r="AU55" s="178">
        <v>9942498803</v>
      </c>
      <c r="AV55" s="178"/>
    </row>
  </sheetData>
  <mergeCells count="21">
    <mergeCell ref="AC16:AD16"/>
    <mergeCell ref="AG16:AH16"/>
    <mergeCell ref="AI16:AJ16"/>
    <mergeCell ref="AK16:AL16"/>
    <mergeCell ref="AE16:AF16"/>
    <mergeCell ref="P18:S18"/>
    <mergeCell ref="P20:S20"/>
    <mergeCell ref="E18:L18"/>
    <mergeCell ref="E15:L15"/>
    <mergeCell ref="Q12:R13"/>
    <mergeCell ref="N12:O13"/>
    <mergeCell ref="E12:F13"/>
    <mergeCell ref="K12:L13"/>
    <mergeCell ref="K17:L17"/>
    <mergeCell ref="H12:I13"/>
    <mergeCell ref="H17:I17"/>
    <mergeCell ref="W16:W17"/>
    <mergeCell ref="X16:X17"/>
    <mergeCell ref="Y16:Z16"/>
    <mergeCell ref="AA16:AB16"/>
    <mergeCell ref="E9:O9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6358-1C12-41EC-8F69-CC353777BB7B}">
  <sheetPr>
    <tabColor rgb="FF48A39E"/>
  </sheetPr>
  <dimension ref="A1:BC43"/>
  <sheetViews>
    <sheetView showGridLines="0" topLeftCell="A7" workbookViewId="0">
      <selection activeCell="AA21" sqref="AA21"/>
    </sheetView>
  </sheetViews>
  <sheetFormatPr defaultRowHeight="15" x14ac:dyDescent="0.25"/>
  <cols>
    <col min="1" max="1" width="35.140625" customWidth="1"/>
    <col min="2" max="4" width="2.5703125" customWidth="1"/>
    <col min="5" max="5" width="3.42578125" customWidth="1"/>
    <col min="6" max="6" width="1.28515625" customWidth="1"/>
    <col min="7" max="8" width="9.5703125" customWidth="1"/>
    <col min="9" max="9" width="1.140625" customWidth="1"/>
    <col min="10" max="11" width="9.5703125" customWidth="1"/>
    <col min="12" max="12" width="1" customWidth="1"/>
    <col min="13" max="14" width="10.42578125" customWidth="1"/>
    <col min="15" max="15" width="1" customWidth="1"/>
    <col min="16" max="17" width="9" customWidth="1"/>
    <col min="18" max="18" width="1" customWidth="1"/>
    <col min="19" max="20" width="6.85546875" customWidth="1"/>
    <col min="21" max="21" width="1" customWidth="1"/>
    <col min="22" max="22" width="10.5703125" customWidth="1"/>
    <col min="23" max="23" width="1" customWidth="1"/>
    <col min="24" max="24" width="7.7109375" customWidth="1"/>
    <col min="25" max="25" width="1" customWidth="1"/>
    <col min="26" max="26" width="12.7109375" customWidth="1"/>
    <col min="27" max="27" width="5.85546875" customWidth="1"/>
    <col min="28" max="28" width="3.7109375" customWidth="1"/>
    <col min="29" max="29" width="31.42578125" customWidth="1"/>
    <col min="30" max="30" width="3.85546875" customWidth="1"/>
    <col min="31" max="31" width="4" customWidth="1"/>
    <col min="32" max="32" width="11.28515625" bestFit="1" customWidth="1"/>
    <col min="33" max="33" width="8" customWidth="1"/>
    <col min="34" max="34" width="9" customWidth="1"/>
    <col min="35" max="35" width="15.5703125" customWidth="1"/>
    <col min="36" max="36" width="9.140625" customWidth="1"/>
    <col min="37" max="37" width="18.42578125" customWidth="1"/>
    <col min="38" max="38" width="5" customWidth="1"/>
    <col min="40" max="40" width="11.42578125" customWidth="1"/>
    <col min="41" max="41" width="11.140625" customWidth="1"/>
    <col min="44" max="44" width="9.140625" customWidth="1"/>
    <col min="46" max="46" width="4.7109375" style="9" customWidth="1"/>
    <col min="47" max="47" width="19" customWidth="1"/>
    <col min="48" max="48" width="17.28515625" bestFit="1" customWidth="1"/>
    <col min="49" max="49" width="6.28515625" style="9" customWidth="1"/>
    <col min="50" max="50" width="10.42578125" customWidth="1"/>
    <col min="51" max="51" width="31.7109375" customWidth="1"/>
    <col min="52" max="52" width="16.140625" customWidth="1"/>
    <col min="53" max="53" width="13.7109375" customWidth="1"/>
    <col min="54" max="54" width="10.7109375" customWidth="1"/>
    <col min="55" max="55" width="9.140625" style="9" customWidth="1"/>
  </cols>
  <sheetData>
    <row r="1" spans="1:55" ht="21" x14ac:dyDescent="0.35">
      <c r="A1" s="44" t="s">
        <v>291</v>
      </c>
      <c r="AC1" s="44"/>
    </row>
    <row r="2" spans="1:55" x14ac:dyDescent="0.25">
      <c r="A2" t="s">
        <v>292</v>
      </c>
    </row>
    <row r="8" spans="1:55" ht="15.75" x14ac:dyDescent="0.25">
      <c r="AT8" s="161" t="s">
        <v>293</v>
      </c>
    </row>
    <row r="9" spans="1:55" ht="14.25" customHeight="1" x14ac:dyDescent="0.25">
      <c r="AT9" s="616" t="s">
        <v>23</v>
      </c>
      <c r="AU9" s="616" t="s">
        <v>294</v>
      </c>
      <c r="AV9" s="618" t="s">
        <v>295</v>
      </c>
      <c r="AW9" s="619" t="s">
        <v>296</v>
      </c>
      <c r="AX9" s="619"/>
      <c r="AY9" s="619"/>
      <c r="AZ9" s="616" t="s">
        <v>297</v>
      </c>
      <c r="BA9" s="616" t="s">
        <v>298</v>
      </c>
    </row>
    <row r="10" spans="1:55" ht="15.75" x14ac:dyDescent="0.25">
      <c r="A10" s="3"/>
      <c r="G10" s="610"/>
      <c r="H10" s="610"/>
      <c r="I10" s="610"/>
      <c r="J10" s="610"/>
      <c r="K10" s="610"/>
      <c r="L10" s="610"/>
      <c r="M10" s="610"/>
      <c r="N10" s="610"/>
      <c r="O10" s="610"/>
      <c r="P10" s="610"/>
      <c r="Q10" s="610"/>
      <c r="R10" s="610"/>
      <c r="S10" s="610"/>
      <c r="T10" s="610"/>
      <c r="AC10" s="3"/>
      <c r="AE10" s="605" t="s">
        <v>152</v>
      </c>
      <c r="AF10" s="606"/>
      <c r="AT10" s="616"/>
      <c r="AU10" s="616" t="s">
        <v>294</v>
      </c>
      <c r="AV10" s="618"/>
      <c r="AW10" s="619"/>
      <c r="AX10" s="619"/>
      <c r="AY10" s="619"/>
      <c r="AZ10" s="616"/>
      <c r="BA10" s="616"/>
    </row>
    <row r="11" spans="1:55" ht="20.25" customHeight="1" x14ac:dyDescent="0.25">
      <c r="A11" s="3"/>
      <c r="E11" s="123" t="s">
        <v>299</v>
      </c>
      <c r="AC11" s="3"/>
      <c r="AE11" s="6" t="s">
        <v>300</v>
      </c>
      <c r="AF11" s="6"/>
      <c r="AT11" s="182">
        <v>1</v>
      </c>
      <c r="AU11" s="226" t="s">
        <v>57</v>
      </c>
      <c r="AV11" s="225">
        <v>5678310</v>
      </c>
      <c r="AW11" s="615" t="s">
        <v>301</v>
      </c>
      <c r="AX11" s="615"/>
      <c r="AY11" s="615"/>
      <c r="AZ11" s="224" t="s">
        <v>302</v>
      </c>
      <c r="BA11" s="224" t="s">
        <v>303</v>
      </c>
    </row>
    <row r="12" spans="1:55" ht="19.5" customHeight="1" x14ac:dyDescent="0.25">
      <c r="A12" s="3"/>
      <c r="E12" s="7" t="s">
        <v>74</v>
      </c>
      <c r="G12" s="53" t="s">
        <v>263</v>
      </c>
      <c r="H12" s="32"/>
      <c r="I12" s="32"/>
      <c r="J12" s="53" t="s">
        <v>156</v>
      </c>
      <c r="K12" s="32"/>
      <c r="L12" s="7"/>
      <c r="M12" s="53" t="s">
        <v>264</v>
      </c>
      <c r="N12" s="32"/>
      <c r="O12" s="7"/>
      <c r="P12" s="53" t="s">
        <v>162</v>
      </c>
      <c r="Q12" s="32"/>
      <c r="R12" s="7"/>
      <c r="S12" s="53" t="s">
        <v>265</v>
      </c>
      <c r="T12" s="7"/>
      <c r="V12" s="53" t="s">
        <v>157</v>
      </c>
      <c r="W12" s="5"/>
      <c r="X12" s="53" t="s">
        <v>304</v>
      </c>
      <c r="AC12" s="4"/>
      <c r="AD12" s="5"/>
      <c r="AE12" s="53" t="s">
        <v>263</v>
      </c>
      <c r="AF12" s="53"/>
      <c r="AG12" s="5"/>
      <c r="AH12" s="5"/>
      <c r="AI12" s="5"/>
      <c r="AK12" s="53" t="s">
        <v>156</v>
      </c>
      <c r="AL12" s="5"/>
      <c r="AM12" s="5"/>
      <c r="AN12" s="5"/>
      <c r="AT12" s="182" t="s">
        <v>305</v>
      </c>
      <c r="AU12" s="226" t="s">
        <v>57</v>
      </c>
      <c r="AV12" s="225">
        <v>5678310</v>
      </c>
      <c r="AW12" s="615" t="s">
        <v>301</v>
      </c>
      <c r="AX12" s="615"/>
      <c r="AY12" s="615"/>
      <c r="AZ12" s="224" t="s">
        <v>302</v>
      </c>
      <c r="BA12" s="224" t="s">
        <v>303</v>
      </c>
    </row>
    <row r="13" spans="1:55" ht="21" customHeight="1" x14ac:dyDescent="0.25">
      <c r="A13" s="3"/>
      <c r="E13" s="118">
        <v>1</v>
      </c>
      <c r="G13" s="121" t="s">
        <v>267</v>
      </c>
      <c r="H13" s="117"/>
      <c r="I13" s="51"/>
      <c r="J13" s="121" t="s">
        <v>248</v>
      </c>
      <c r="K13" s="117"/>
      <c r="L13" s="51"/>
      <c r="M13" s="121" t="s">
        <v>306</v>
      </c>
      <c r="N13" s="117"/>
      <c r="O13" s="51"/>
      <c r="P13" s="607">
        <v>2025000000</v>
      </c>
      <c r="Q13" s="608"/>
      <c r="R13" s="51"/>
      <c r="S13" s="609" t="s">
        <v>307</v>
      </c>
      <c r="T13" s="608"/>
      <c r="U13" s="51"/>
      <c r="V13" s="118" t="s">
        <v>53</v>
      </c>
      <c r="W13" s="119"/>
      <c r="X13" s="118" t="s">
        <v>308</v>
      </c>
      <c r="Z13" s="120" t="s">
        <v>309</v>
      </c>
      <c r="AC13" s="4"/>
      <c r="AD13" s="5"/>
      <c r="AE13" s="612" t="s">
        <v>267</v>
      </c>
      <c r="AF13" s="613"/>
      <c r="AG13" s="613"/>
      <c r="AH13" s="613"/>
      <c r="AI13" s="614"/>
      <c r="AK13" s="612" t="s">
        <v>248</v>
      </c>
      <c r="AL13" s="613"/>
      <c r="AM13" s="613"/>
      <c r="AN13" s="613"/>
      <c r="AO13" s="614"/>
      <c r="AT13" s="182" t="s">
        <v>310</v>
      </c>
      <c r="AU13" s="226" t="s">
        <v>57</v>
      </c>
      <c r="AV13" s="225">
        <v>5678310</v>
      </c>
      <c r="AW13" s="615" t="s">
        <v>301</v>
      </c>
      <c r="AX13" s="615"/>
      <c r="AY13" s="615"/>
      <c r="AZ13" s="224" t="s">
        <v>302</v>
      </c>
      <c r="BA13" s="224" t="s">
        <v>303</v>
      </c>
    </row>
    <row r="14" spans="1:55" s="5" customFormat="1" ht="9" customHeight="1" x14ac:dyDescent="0.25">
      <c r="A14" s="4"/>
      <c r="G14" s="116" t="s">
        <v>311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7"/>
      <c r="T14" s="7"/>
      <c r="U14" s="83"/>
      <c r="V14" s="83"/>
      <c r="W14" s="83"/>
      <c r="X14" s="83"/>
      <c r="AC14" s="4"/>
      <c r="AT14" s="143"/>
      <c r="AU14" s="139"/>
      <c r="AV14" s="139"/>
      <c r="AW14" s="142"/>
      <c r="AX14" s="141"/>
      <c r="AY14" s="141"/>
      <c r="AZ14" s="140"/>
      <c r="BA14" s="141"/>
      <c r="BB14" s="141"/>
      <c r="BC14" s="131"/>
    </row>
    <row r="15" spans="1:55" s="5" customFormat="1" ht="21" customHeight="1" x14ac:dyDescent="0.25">
      <c r="A15" s="4"/>
      <c r="E15" s="118">
        <v>2</v>
      </c>
      <c r="F15"/>
      <c r="G15" s="121" t="s">
        <v>267</v>
      </c>
      <c r="H15" s="117"/>
      <c r="I15" s="51"/>
      <c r="J15" s="121" t="s">
        <v>312</v>
      </c>
      <c r="K15" s="117"/>
      <c r="L15" s="51"/>
      <c r="M15" s="121" t="s">
        <v>313</v>
      </c>
      <c r="N15" s="117"/>
      <c r="O15" s="51"/>
      <c r="P15" s="607">
        <v>202500000</v>
      </c>
      <c r="Q15" s="608"/>
      <c r="R15" s="51"/>
      <c r="S15" s="122"/>
      <c r="T15" s="122"/>
      <c r="U15" s="51"/>
      <c r="V15" s="122"/>
      <c r="W15" s="119"/>
      <c r="X15" s="122"/>
      <c r="Y15"/>
      <c r="Z15" s="122" t="s">
        <v>314</v>
      </c>
      <c r="AC15" s="4"/>
      <c r="AE15" s="127" t="s">
        <v>315</v>
      </c>
      <c r="AF15" s="127"/>
      <c r="AG15" s="6" t="s">
        <v>316</v>
      </c>
      <c r="AH15" s="611">
        <v>2025000000</v>
      </c>
      <c r="AI15" s="611"/>
      <c r="AK15" s="5" t="s">
        <v>317</v>
      </c>
      <c r="AL15" s="31"/>
      <c r="AT15" s="131"/>
      <c r="AW15" s="131"/>
      <c r="BC15" s="131"/>
    </row>
    <row r="16" spans="1:55" s="5" customFormat="1" ht="12.75" customHeight="1" x14ac:dyDescent="0.25">
      <c r="A16" s="4"/>
      <c r="H16" s="32"/>
      <c r="I16" s="32"/>
      <c r="J16" s="32"/>
      <c r="K16" s="32"/>
      <c r="L16" s="7"/>
      <c r="M16" s="7"/>
      <c r="N16" s="7"/>
      <c r="O16" s="7"/>
      <c r="P16" s="622" t="s">
        <v>318</v>
      </c>
      <c r="Q16" s="622"/>
      <c r="R16" s="622"/>
      <c r="S16" s="622"/>
      <c r="T16" s="622"/>
      <c r="U16" s="622"/>
      <c r="V16" s="622"/>
      <c r="W16" s="622"/>
      <c r="X16" s="622"/>
      <c r="Y16" s="622"/>
      <c r="Z16" s="622"/>
      <c r="AC16" s="4"/>
      <c r="AK16" s="53" t="s">
        <v>319</v>
      </c>
      <c r="AT16" s="161" t="s">
        <v>320</v>
      </c>
      <c r="AW16" s="131"/>
      <c r="BC16" s="131"/>
    </row>
    <row r="17" spans="1:55" s="5" customFormat="1" ht="17.25" customHeight="1" x14ac:dyDescent="0.2">
      <c r="A17" s="4"/>
      <c r="L17" s="7"/>
      <c r="M17" s="7"/>
      <c r="N17" s="7"/>
      <c r="O17" s="7"/>
      <c r="P17" s="7"/>
      <c r="AC17" s="4"/>
      <c r="AM17" s="54"/>
      <c r="AN17" s="54"/>
      <c r="AT17" s="616" t="s">
        <v>23</v>
      </c>
      <c r="AU17" s="616" t="s">
        <v>294</v>
      </c>
      <c r="AV17" s="616" t="s">
        <v>321</v>
      </c>
      <c r="AW17" s="616" t="s">
        <v>322</v>
      </c>
      <c r="AX17" s="618" t="s">
        <v>295</v>
      </c>
      <c r="AY17" s="616" t="s">
        <v>323</v>
      </c>
      <c r="AZ17" s="616" t="s">
        <v>296</v>
      </c>
      <c r="BA17" s="616"/>
      <c r="BB17" s="616" t="s">
        <v>297</v>
      </c>
      <c r="BC17" s="616" t="s">
        <v>298</v>
      </c>
    </row>
    <row r="18" spans="1:55" s="5" customFormat="1" ht="21" customHeight="1" x14ac:dyDescent="0.25">
      <c r="A18" s="4"/>
      <c r="L18" s="7"/>
      <c r="M18" s="7"/>
      <c r="N18" s="7"/>
      <c r="O18"/>
      <c r="P18" s="7"/>
      <c r="Q18" s="7"/>
      <c r="R18" s="7"/>
      <c r="S18" s="91"/>
      <c r="T18" s="7"/>
      <c r="AC18" s="4"/>
      <c r="AE18" s="53" t="s">
        <v>324</v>
      </c>
      <c r="AF18" s="53"/>
      <c r="AG18" s="53"/>
      <c r="AH18" s="53"/>
      <c r="AK18" s="163" t="s">
        <v>325</v>
      </c>
      <c r="AL18" s="54"/>
      <c r="AM18" s="54"/>
      <c r="AN18" s="54"/>
      <c r="AP18" s="54"/>
      <c r="AQ18" s="54"/>
      <c r="AT18" s="616"/>
      <c r="AU18" s="616" t="s">
        <v>294</v>
      </c>
      <c r="AV18" s="616"/>
      <c r="AW18" s="616"/>
      <c r="AX18" s="618"/>
      <c r="AY18" s="616"/>
      <c r="AZ18" s="616"/>
      <c r="BA18" s="616"/>
      <c r="BB18" s="616"/>
      <c r="BC18" s="616"/>
    </row>
    <row r="19" spans="1:55" s="5" customFormat="1" ht="17.25" customHeight="1" x14ac:dyDescent="0.25">
      <c r="A19" s="4"/>
      <c r="AC19" s="4"/>
      <c r="AE19" s="620" t="s">
        <v>326</v>
      </c>
      <c r="AF19" s="621"/>
      <c r="AG19" s="52" t="s">
        <v>327</v>
      </c>
      <c r="AK19" s="162" t="s">
        <v>328</v>
      </c>
      <c r="AL19" s="54"/>
      <c r="AN19" s="164" t="s">
        <v>329</v>
      </c>
      <c r="AP19" s="54"/>
      <c r="AQ19" s="54"/>
      <c r="AT19" s="144">
        <v>1</v>
      </c>
      <c r="AU19" s="145" t="s">
        <v>57</v>
      </c>
      <c r="AV19" s="145" t="s">
        <v>330</v>
      </c>
      <c r="AW19" s="147" t="s">
        <v>331</v>
      </c>
      <c r="AX19" s="146">
        <v>5678310</v>
      </c>
      <c r="AY19" s="146" t="s">
        <v>332</v>
      </c>
      <c r="AZ19" s="617" t="s">
        <v>333</v>
      </c>
      <c r="BA19" s="617"/>
      <c r="BB19" s="146" t="s">
        <v>302</v>
      </c>
      <c r="BC19" s="147" t="s">
        <v>303</v>
      </c>
    </row>
    <row r="20" spans="1:55" s="5" customFormat="1" ht="17.25" customHeight="1" x14ac:dyDescent="0.25">
      <c r="A20" s="4"/>
      <c r="Q20"/>
      <c r="AC20" s="4"/>
      <c r="AJ20" s="134" t="s">
        <v>334</v>
      </c>
      <c r="AT20" s="144" t="s">
        <v>305</v>
      </c>
      <c r="AU20" s="145" t="s">
        <v>57</v>
      </c>
      <c r="AV20" s="153" t="s">
        <v>330</v>
      </c>
      <c r="AW20" s="147" t="s">
        <v>331</v>
      </c>
      <c r="AX20" s="146">
        <v>5678310</v>
      </c>
      <c r="AY20" s="146" t="s">
        <v>332</v>
      </c>
      <c r="AZ20" s="617" t="s">
        <v>333</v>
      </c>
      <c r="BA20" s="617"/>
      <c r="BB20" s="146" t="s">
        <v>302</v>
      </c>
      <c r="BC20" s="147" t="s">
        <v>303</v>
      </c>
    </row>
    <row r="21" spans="1:55" s="5" customFormat="1" ht="24" customHeight="1" x14ac:dyDescent="0.25">
      <c r="A21" s="4"/>
      <c r="AC21" s="4"/>
      <c r="AF21" s="128"/>
      <c r="AG21" s="54"/>
      <c r="AH21" s="54"/>
      <c r="AI21" s="54"/>
      <c r="AJ21" s="54"/>
      <c r="AK21" s="54"/>
      <c r="AL21" s="54"/>
      <c r="AM21" s="54"/>
      <c r="AN21" s="54"/>
      <c r="AO21" s="54"/>
      <c r="AT21" s="144" t="s">
        <v>310</v>
      </c>
      <c r="AU21" s="151" t="s">
        <v>57</v>
      </c>
      <c r="AV21" s="157" t="s">
        <v>330</v>
      </c>
      <c r="AW21" s="152" t="s">
        <v>331</v>
      </c>
      <c r="AX21" s="156">
        <v>5678310</v>
      </c>
      <c r="AY21" s="146" t="s">
        <v>332</v>
      </c>
      <c r="AZ21" s="617" t="s">
        <v>333</v>
      </c>
      <c r="BA21" s="617"/>
      <c r="BB21" s="146" t="s">
        <v>302</v>
      </c>
      <c r="BC21" s="147" t="s">
        <v>303</v>
      </c>
    </row>
    <row r="22" spans="1:55" s="5" customFormat="1" ht="24" customHeight="1" x14ac:dyDescent="0.25">
      <c r="A22" s="4"/>
      <c r="AC22" s="4"/>
      <c r="AE22" s="135" t="s">
        <v>335</v>
      </c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T22" s="148">
        <v>4</v>
      </c>
      <c r="AU22" s="158" t="s">
        <v>330</v>
      </c>
      <c r="AV22" s="159" t="s">
        <v>57</v>
      </c>
      <c r="AW22" s="154" t="s">
        <v>331</v>
      </c>
      <c r="AX22" s="160">
        <f>SUM(AX19:AX21)</f>
        <v>17034930</v>
      </c>
      <c r="AY22" s="155" t="s">
        <v>332</v>
      </c>
      <c r="AZ22" s="617" t="s">
        <v>333</v>
      </c>
      <c r="BA22" s="617"/>
      <c r="BB22" s="146" t="s">
        <v>302</v>
      </c>
      <c r="BC22" s="147" t="s">
        <v>336</v>
      </c>
    </row>
    <row r="23" spans="1:55" s="5" customFormat="1" ht="24" customHeight="1" x14ac:dyDescent="0.25">
      <c r="A23" s="4"/>
      <c r="N23" s="50"/>
      <c r="Q23" s="7"/>
      <c r="R23" s="7"/>
      <c r="S23" s="7"/>
      <c r="T23" s="7"/>
      <c r="AC23" s="4"/>
      <c r="AE23" s="129" t="s">
        <v>337</v>
      </c>
      <c r="AF23" s="624" t="s">
        <v>338</v>
      </c>
      <c r="AG23" s="626"/>
      <c r="AH23" s="624" t="s">
        <v>162</v>
      </c>
      <c r="AI23" s="626"/>
      <c r="AJ23" s="624" t="s">
        <v>339</v>
      </c>
      <c r="AK23" s="625"/>
      <c r="AL23" s="625"/>
      <c r="AM23" s="626"/>
      <c r="AN23" s="129" t="s">
        <v>340</v>
      </c>
      <c r="AO23" s="129" t="s">
        <v>341</v>
      </c>
      <c r="AT23" s="131"/>
      <c r="AW23" s="131"/>
      <c r="BC23" s="131"/>
    </row>
    <row r="24" spans="1:55" s="5" customFormat="1" ht="24" customHeight="1" x14ac:dyDescent="0.2">
      <c r="A24" s="4"/>
      <c r="G24" s="92"/>
      <c r="H24" s="32" t="s">
        <v>342</v>
      </c>
      <c r="I24" s="32"/>
      <c r="J24" s="32"/>
      <c r="K24" s="32"/>
      <c r="L24" s="7"/>
      <c r="M24" s="7"/>
      <c r="N24" s="7"/>
      <c r="O24" s="7"/>
      <c r="P24" s="7"/>
      <c r="Q24" s="7"/>
      <c r="R24" s="7"/>
      <c r="S24" s="7"/>
      <c r="T24" s="7"/>
      <c r="AC24" s="4"/>
      <c r="AE24" s="130"/>
      <c r="AF24" s="627"/>
      <c r="AG24" s="629"/>
      <c r="AH24" s="627"/>
      <c r="AI24" s="629"/>
      <c r="AJ24" s="627"/>
      <c r="AK24" s="628"/>
      <c r="AL24" s="628"/>
      <c r="AM24" s="629"/>
      <c r="AN24" s="130"/>
      <c r="AO24" s="130"/>
      <c r="AT24" s="131"/>
      <c r="AY24" s="150" t="s">
        <v>343</v>
      </c>
      <c r="BC24" s="131"/>
    </row>
    <row r="25" spans="1:55" s="5" customFormat="1" ht="24" customHeight="1" x14ac:dyDescent="0.25">
      <c r="A25" s="4"/>
      <c r="Q25" s="7"/>
      <c r="R25" s="7"/>
      <c r="S25" s="7"/>
      <c r="T25" s="7"/>
      <c r="AC25" s="3"/>
      <c r="AD25"/>
      <c r="AE25" s="23" t="s">
        <v>236</v>
      </c>
      <c r="AF25" s="23"/>
      <c r="AG25" s="23"/>
      <c r="AH25" s="23"/>
      <c r="AI25" s="23"/>
      <c r="AJ25" s="23"/>
      <c r="AK25"/>
      <c r="AL25"/>
      <c r="AM25"/>
      <c r="AN25"/>
      <c r="AT25" s="131"/>
      <c r="AW25" s="131"/>
      <c r="AY25" s="5" t="s">
        <v>344</v>
      </c>
      <c r="BC25" s="131"/>
    </row>
    <row r="26" spans="1:55" s="5" customFormat="1" ht="13.5" customHeight="1" x14ac:dyDescent="0.25">
      <c r="A26" s="4"/>
      <c r="AC26" s="3"/>
      <c r="AD26"/>
      <c r="AE26" s="30"/>
      <c r="AF26" s="36"/>
      <c r="AG26" s="37"/>
      <c r="AH26" s="37"/>
      <c r="AI26" s="37"/>
      <c r="AJ26" s="24"/>
      <c r="AK26"/>
      <c r="AW26" s="131"/>
      <c r="AY26" s="5" t="s">
        <v>345</v>
      </c>
      <c r="BC26" s="131"/>
    </row>
    <row r="27" spans="1:55" ht="13.5" customHeight="1" x14ac:dyDescent="0.25">
      <c r="AC27" s="3"/>
      <c r="AE27" s="25"/>
      <c r="AF27" s="23"/>
      <c r="AG27" s="38"/>
      <c r="AH27" s="38"/>
      <c r="AI27" s="38"/>
      <c r="AJ27" s="26"/>
    </row>
    <row r="28" spans="1:55" ht="13.5" customHeight="1" x14ac:dyDescent="0.25">
      <c r="AC28" s="3"/>
      <c r="AE28" s="27"/>
      <c r="AF28" s="28"/>
      <c r="AG28" s="28"/>
      <c r="AH28" s="28"/>
      <c r="AI28" s="28"/>
      <c r="AJ28" s="29"/>
    </row>
    <row r="29" spans="1:55" ht="13.5" customHeight="1" x14ac:dyDescent="0.25">
      <c r="AC29" s="3"/>
      <c r="AE29" s="23"/>
      <c r="AF29" s="23"/>
      <c r="AG29" s="23"/>
      <c r="AH29" s="23"/>
      <c r="AI29" s="23"/>
      <c r="AJ29" s="23"/>
    </row>
    <row r="30" spans="1:55" ht="13.5" customHeight="1" x14ac:dyDescent="0.25">
      <c r="AC30" s="3"/>
    </row>
    <row r="31" spans="1:55" ht="13.5" customHeight="1" x14ac:dyDescent="0.25">
      <c r="AC31" s="3"/>
      <c r="AF31" s="136" t="s">
        <v>346</v>
      </c>
      <c r="AG31" s="137"/>
      <c r="AH31" s="132" t="s">
        <v>347</v>
      </c>
      <c r="AI31" s="133"/>
      <c r="AJ31" s="623" t="s">
        <v>348</v>
      </c>
      <c r="AK31" s="623"/>
    </row>
    <row r="32" spans="1:55" ht="13.5" customHeight="1" x14ac:dyDescent="0.25">
      <c r="AC32" s="3"/>
      <c r="AF32" s="138"/>
    </row>
    <row r="33" spans="29:41" ht="13.5" customHeight="1" x14ac:dyDescent="0.25">
      <c r="AC33" s="3"/>
    </row>
    <row r="34" spans="29:41" x14ac:dyDescent="0.25">
      <c r="AC34" s="3"/>
    </row>
    <row r="35" spans="29:41" x14ac:dyDescent="0.25">
      <c r="AC35" s="3"/>
      <c r="AE35" s="211"/>
      <c r="AF35" s="212" t="s">
        <v>349</v>
      </c>
      <c r="AG35" s="212"/>
      <c r="AH35" s="213"/>
      <c r="AI35" s="213"/>
      <c r="AJ35" s="213"/>
      <c r="AK35" s="213"/>
      <c r="AL35" s="213"/>
      <c r="AM35" s="214"/>
      <c r="AN35" s="213"/>
      <c r="AO35" s="215"/>
    </row>
    <row r="36" spans="29:41" x14ac:dyDescent="0.25">
      <c r="AC36" s="3"/>
      <c r="AE36" s="216">
        <v>1</v>
      </c>
      <c r="AF36" s="217" t="s">
        <v>350</v>
      </c>
      <c r="AG36" s="217"/>
      <c r="AH36" s="217"/>
      <c r="AI36" s="217"/>
      <c r="AJ36" s="217"/>
      <c r="AK36" s="217"/>
      <c r="AL36" s="217"/>
      <c r="AM36" s="218"/>
      <c r="AN36" s="217"/>
      <c r="AO36" s="219"/>
    </row>
    <row r="37" spans="29:41" x14ac:dyDescent="0.25">
      <c r="AE37" s="216">
        <v>2</v>
      </c>
      <c r="AF37" s="217" t="s">
        <v>351</v>
      </c>
      <c r="AG37" s="217"/>
      <c r="AH37" s="217"/>
      <c r="AI37" s="217"/>
      <c r="AJ37" s="217"/>
      <c r="AK37" s="217"/>
      <c r="AL37" s="217"/>
      <c r="AM37" s="218"/>
      <c r="AN37" s="217"/>
      <c r="AO37" s="219"/>
    </row>
    <row r="38" spans="29:41" x14ac:dyDescent="0.25">
      <c r="AE38" s="216">
        <v>3</v>
      </c>
      <c r="AF38" s="217" t="s">
        <v>352</v>
      </c>
      <c r="AG38" s="217"/>
      <c r="AH38" s="217"/>
      <c r="AI38" s="217"/>
      <c r="AJ38" s="217"/>
      <c r="AK38" s="217"/>
      <c r="AL38" s="217"/>
      <c r="AM38" s="218"/>
      <c r="AN38" s="217"/>
      <c r="AO38" s="219"/>
    </row>
    <row r="39" spans="29:41" x14ac:dyDescent="0.25">
      <c r="AE39" s="216">
        <v>4</v>
      </c>
      <c r="AF39" s="217" t="s">
        <v>353</v>
      </c>
      <c r="AG39" s="217"/>
      <c r="AH39" s="217"/>
      <c r="AI39" s="217"/>
      <c r="AJ39" s="217"/>
      <c r="AK39" s="217"/>
      <c r="AL39" s="217"/>
      <c r="AM39" s="218"/>
      <c r="AN39" s="217"/>
      <c r="AO39" s="219"/>
    </row>
    <row r="40" spans="29:41" x14ac:dyDescent="0.25">
      <c r="AE40" s="216">
        <v>5</v>
      </c>
      <c r="AF40" s="217" t="s">
        <v>354</v>
      </c>
      <c r="AG40" s="217"/>
      <c r="AH40" s="217"/>
      <c r="AI40" s="217"/>
      <c r="AJ40" s="217"/>
      <c r="AK40" s="217"/>
      <c r="AL40" s="217"/>
      <c r="AM40" s="218"/>
      <c r="AN40" s="217"/>
      <c r="AO40" s="219"/>
    </row>
    <row r="41" spans="29:41" x14ac:dyDescent="0.25">
      <c r="AE41" s="216">
        <v>6</v>
      </c>
      <c r="AF41" s="217" t="s">
        <v>355</v>
      </c>
      <c r="AG41" s="217"/>
      <c r="AH41" s="217"/>
      <c r="AI41" s="217"/>
      <c r="AJ41" s="217"/>
      <c r="AK41" s="217"/>
      <c r="AL41" s="217"/>
      <c r="AM41" s="218"/>
      <c r="AN41" s="217"/>
      <c r="AO41" s="219"/>
    </row>
    <row r="42" spans="29:41" x14ac:dyDescent="0.25">
      <c r="AE42" s="216">
        <v>7</v>
      </c>
      <c r="AF42" s="217" t="s">
        <v>356</v>
      </c>
      <c r="AG42" s="217"/>
      <c r="AH42" s="217"/>
      <c r="AI42" s="217"/>
      <c r="AJ42" s="217"/>
      <c r="AK42" s="217"/>
      <c r="AL42" s="217"/>
      <c r="AM42" s="218"/>
      <c r="AN42" s="217"/>
      <c r="AO42" s="219"/>
    </row>
    <row r="43" spans="29:41" x14ac:dyDescent="0.25">
      <c r="AE43" s="220"/>
      <c r="AF43" s="221"/>
      <c r="AG43" s="221"/>
      <c r="AH43" s="221"/>
      <c r="AI43" s="221"/>
      <c r="AJ43" s="221"/>
      <c r="AK43" s="221"/>
      <c r="AL43" s="221"/>
      <c r="AM43" s="222"/>
      <c r="AN43" s="221"/>
      <c r="AO43" s="223"/>
    </row>
  </sheetData>
  <mergeCells count="39">
    <mergeCell ref="AE19:AF19"/>
    <mergeCell ref="P16:Z16"/>
    <mergeCell ref="AJ31:AK31"/>
    <mergeCell ref="AZ17:BA18"/>
    <mergeCell ref="AZ19:BA19"/>
    <mergeCell ref="AZ20:BA20"/>
    <mergeCell ref="AZ21:BA21"/>
    <mergeCell ref="AJ23:AM23"/>
    <mergeCell ref="AJ24:AM24"/>
    <mergeCell ref="AF23:AG23"/>
    <mergeCell ref="AF24:AG24"/>
    <mergeCell ref="AH23:AI23"/>
    <mergeCell ref="AH24:AI24"/>
    <mergeCell ref="BC17:BC18"/>
    <mergeCell ref="AZ22:BA22"/>
    <mergeCell ref="BB17:BB18"/>
    <mergeCell ref="AT9:AT10"/>
    <mergeCell ref="AU9:AU10"/>
    <mergeCell ref="AV9:AV10"/>
    <mergeCell ref="AW9:AY10"/>
    <mergeCell ref="AZ9:AZ10"/>
    <mergeCell ref="BA9:BA10"/>
    <mergeCell ref="AT17:AT18"/>
    <mergeCell ref="AU17:AU18"/>
    <mergeCell ref="AV17:AV18"/>
    <mergeCell ref="AW17:AW18"/>
    <mergeCell ref="AX17:AX18"/>
    <mergeCell ref="AY17:AY18"/>
    <mergeCell ref="AH15:AI15"/>
    <mergeCell ref="AE13:AI13"/>
    <mergeCell ref="AW11:AY11"/>
    <mergeCell ref="AW12:AY12"/>
    <mergeCell ref="AW13:AY13"/>
    <mergeCell ref="AK13:AO13"/>
    <mergeCell ref="AE10:AF10"/>
    <mergeCell ref="P13:Q13"/>
    <mergeCell ref="S13:T13"/>
    <mergeCell ref="P15:Q15"/>
    <mergeCell ref="G10:T10"/>
  </mergeCells>
  <phoneticPr fontId="3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4B9C-E59C-460E-A3F8-FC15E6BC1BE7}">
  <dimension ref="A1:I89"/>
  <sheetViews>
    <sheetView topLeftCell="A56" workbookViewId="0">
      <selection activeCell="F96" sqref="F96"/>
    </sheetView>
  </sheetViews>
  <sheetFormatPr defaultRowHeight="15" x14ac:dyDescent="0.25"/>
  <cols>
    <col min="1" max="1" width="4.28515625" style="69" customWidth="1"/>
    <col min="2" max="3" width="17.28515625" style="69" bestFit="1" customWidth="1"/>
    <col min="4" max="4" width="10.28515625" style="69" bestFit="1" customWidth="1"/>
    <col min="5" max="5" width="12.5703125" style="69" customWidth="1"/>
    <col min="6" max="6" width="32.42578125" style="69" bestFit="1" customWidth="1"/>
    <col min="7" max="7" width="31" style="69" bestFit="1" customWidth="1"/>
    <col min="8" max="8" width="14" style="69" bestFit="1" customWidth="1"/>
    <col min="9" max="16384" width="9.140625" style="69"/>
  </cols>
  <sheetData>
    <row r="1" spans="1:9" x14ac:dyDescent="0.25">
      <c r="A1" s="67" t="s">
        <v>23</v>
      </c>
      <c r="B1" s="67" t="s">
        <v>294</v>
      </c>
      <c r="C1" s="67" t="s">
        <v>321</v>
      </c>
      <c r="D1" s="67" t="s">
        <v>322</v>
      </c>
      <c r="E1" s="68" t="s">
        <v>295</v>
      </c>
      <c r="F1" s="67" t="s">
        <v>323</v>
      </c>
      <c r="G1" s="67" t="s">
        <v>296</v>
      </c>
      <c r="H1" s="67" t="s">
        <v>297</v>
      </c>
      <c r="I1" s="67" t="s">
        <v>298</v>
      </c>
    </row>
    <row r="2" spans="1:9" x14ac:dyDescent="0.25">
      <c r="A2" s="70">
        <v>1</v>
      </c>
      <c r="B2" s="67" t="s">
        <v>57</v>
      </c>
      <c r="C2" s="67" t="s">
        <v>330</v>
      </c>
      <c r="D2" s="67" t="s">
        <v>331</v>
      </c>
      <c r="E2" s="71">
        <v>5678310</v>
      </c>
      <c r="F2" s="71" t="s">
        <v>332</v>
      </c>
      <c r="G2" s="70" t="s">
        <v>301</v>
      </c>
      <c r="H2" s="71" t="s">
        <v>302</v>
      </c>
      <c r="I2" s="71" t="s">
        <v>303</v>
      </c>
    </row>
    <row r="3" spans="1:9" x14ac:dyDescent="0.25">
      <c r="A3" s="70">
        <v>2</v>
      </c>
      <c r="B3" s="67" t="s">
        <v>57</v>
      </c>
      <c r="C3" s="67" t="s">
        <v>330</v>
      </c>
      <c r="D3" s="67" t="s">
        <v>331</v>
      </c>
      <c r="E3" s="71">
        <v>5678310</v>
      </c>
      <c r="F3" s="71" t="s">
        <v>332</v>
      </c>
      <c r="G3" s="70" t="s">
        <v>301</v>
      </c>
      <c r="H3" s="71" t="s">
        <v>302</v>
      </c>
      <c r="I3" s="71" t="s">
        <v>303</v>
      </c>
    </row>
    <row r="4" spans="1:9" x14ac:dyDescent="0.25">
      <c r="A4" s="70">
        <v>3</v>
      </c>
      <c r="B4" s="67" t="s">
        <v>57</v>
      </c>
      <c r="C4" s="67" t="s">
        <v>330</v>
      </c>
      <c r="D4" s="67" t="s">
        <v>331</v>
      </c>
      <c r="E4" s="71">
        <v>5678310</v>
      </c>
      <c r="F4" s="71" t="s">
        <v>332</v>
      </c>
      <c r="G4" s="70" t="s">
        <v>301</v>
      </c>
      <c r="H4" s="71" t="s">
        <v>302</v>
      </c>
      <c r="I4" s="71" t="s">
        <v>303</v>
      </c>
    </row>
    <row r="5" spans="1:9" x14ac:dyDescent="0.25">
      <c r="A5" s="70">
        <v>4</v>
      </c>
      <c r="B5" s="67" t="s">
        <v>57</v>
      </c>
      <c r="C5" s="67" t="s">
        <v>330</v>
      </c>
      <c r="D5" s="67" t="s">
        <v>331</v>
      </c>
      <c r="E5" s="71">
        <v>5678310</v>
      </c>
      <c r="F5" s="71" t="s">
        <v>332</v>
      </c>
      <c r="G5" s="70" t="s">
        <v>301</v>
      </c>
      <c r="H5" s="71" t="s">
        <v>302</v>
      </c>
      <c r="I5" s="71" t="s">
        <v>303</v>
      </c>
    </row>
    <row r="6" spans="1:9" x14ac:dyDescent="0.25">
      <c r="A6" s="70">
        <v>5</v>
      </c>
      <c r="B6" s="67" t="s">
        <v>57</v>
      </c>
      <c r="C6" s="67" t="s">
        <v>330</v>
      </c>
      <c r="D6" s="67" t="s">
        <v>331</v>
      </c>
      <c r="E6" s="71">
        <v>5678310</v>
      </c>
      <c r="F6" s="71" t="s">
        <v>332</v>
      </c>
      <c r="G6" s="70" t="s">
        <v>301</v>
      </c>
      <c r="H6" s="71" t="s">
        <v>302</v>
      </c>
      <c r="I6" s="71" t="s">
        <v>303</v>
      </c>
    </row>
    <row r="7" spans="1:9" x14ac:dyDescent="0.25">
      <c r="A7" s="70">
        <v>6</v>
      </c>
      <c r="B7" s="67" t="s">
        <v>57</v>
      </c>
      <c r="C7" s="67" t="s">
        <v>330</v>
      </c>
      <c r="D7" s="67" t="s">
        <v>331</v>
      </c>
      <c r="E7" s="71">
        <v>5678310</v>
      </c>
      <c r="F7" s="71" t="s">
        <v>332</v>
      </c>
      <c r="G7" s="70" t="s">
        <v>301</v>
      </c>
      <c r="H7" s="71" t="s">
        <v>302</v>
      </c>
      <c r="I7" s="71" t="s">
        <v>303</v>
      </c>
    </row>
    <row r="8" spans="1:9" x14ac:dyDescent="0.25">
      <c r="A8" s="70">
        <v>7</v>
      </c>
      <c r="B8" s="67" t="s">
        <v>57</v>
      </c>
      <c r="C8" s="67" t="s">
        <v>330</v>
      </c>
      <c r="D8" s="67" t="s">
        <v>331</v>
      </c>
      <c r="E8" s="71">
        <v>5678310</v>
      </c>
      <c r="F8" s="71" t="s">
        <v>332</v>
      </c>
      <c r="G8" s="70" t="s">
        <v>301</v>
      </c>
      <c r="H8" s="71" t="s">
        <v>302</v>
      </c>
      <c r="I8" s="71" t="s">
        <v>303</v>
      </c>
    </row>
    <row r="9" spans="1:9" x14ac:dyDescent="0.25">
      <c r="A9" s="70">
        <v>8</v>
      </c>
      <c r="B9" s="67" t="s">
        <v>57</v>
      </c>
      <c r="C9" s="67" t="s">
        <v>330</v>
      </c>
      <c r="D9" s="67" t="s">
        <v>331</v>
      </c>
      <c r="E9" s="71">
        <v>5678310</v>
      </c>
      <c r="F9" s="71" t="s">
        <v>332</v>
      </c>
      <c r="G9" s="70" t="s">
        <v>301</v>
      </c>
      <c r="H9" s="71" t="s">
        <v>302</v>
      </c>
      <c r="I9" s="71" t="s">
        <v>303</v>
      </c>
    </row>
    <row r="10" spans="1:9" x14ac:dyDescent="0.25">
      <c r="A10" s="70">
        <v>9</v>
      </c>
      <c r="B10" s="67" t="s">
        <v>57</v>
      </c>
      <c r="C10" s="67" t="s">
        <v>330</v>
      </c>
      <c r="D10" s="67" t="s">
        <v>331</v>
      </c>
      <c r="E10" s="71">
        <v>5678310</v>
      </c>
      <c r="F10" s="71" t="s">
        <v>332</v>
      </c>
      <c r="G10" s="70" t="s">
        <v>301</v>
      </c>
      <c r="H10" s="71" t="s">
        <v>302</v>
      </c>
      <c r="I10" s="71" t="s">
        <v>303</v>
      </c>
    </row>
    <row r="11" spans="1:9" x14ac:dyDescent="0.25">
      <c r="A11" s="70">
        <v>10</v>
      </c>
      <c r="B11" s="67" t="s">
        <v>57</v>
      </c>
      <c r="C11" s="67" t="s">
        <v>330</v>
      </c>
      <c r="D11" s="67" t="s">
        <v>331</v>
      </c>
      <c r="E11" s="71">
        <v>5678310</v>
      </c>
      <c r="F11" s="71" t="s">
        <v>332</v>
      </c>
      <c r="G11" s="70" t="s">
        <v>301</v>
      </c>
      <c r="H11" s="71" t="s">
        <v>302</v>
      </c>
      <c r="I11" s="71" t="s">
        <v>303</v>
      </c>
    </row>
    <row r="12" spans="1:9" x14ac:dyDescent="0.25">
      <c r="A12" s="70">
        <v>11</v>
      </c>
      <c r="B12" s="67" t="s">
        <v>57</v>
      </c>
      <c r="C12" s="67" t="s">
        <v>330</v>
      </c>
      <c r="D12" s="67" t="s">
        <v>331</v>
      </c>
      <c r="E12" s="71">
        <v>5678310</v>
      </c>
      <c r="F12" s="71" t="s">
        <v>332</v>
      </c>
      <c r="G12" s="70" t="s">
        <v>301</v>
      </c>
      <c r="H12" s="71" t="s">
        <v>302</v>
      </c>
      <c r="I12" s="71" t="s">
        <v>303</v>
      </c>
    </row>
    <row r="13" spans="1:9" x14ac:dyDescent="0.25">
      <c r="A13" s="70">
        <v>12</v>
      </c>
      <c r="B13" s="67" t="s">
        <v>57</v>
      </c>
      <c r="C13" s="67" t="s">
        <v>330</v>
      </c>
      <c r="D13" s="67" t="s">
        <v>331</v>
      </c>
      <c r="E13" s="71">
        <v>5678310</v>
      </c>
      <c r="F13" s="71" t="s">
        <v>332</v>
      </c>
      <c r="G13" s="70" t="s">
        <v>301</v>
      </c>
      <c r="H13" s="71" t="s">
        <v>302</v>
      </c>
      <c r="I13" s="71" t="s">
        <v>303</v>
      </c>
    </row>
    <row r="14" spans="1:9" x14ac:dyDescent="0.25">
      <c r="A14" s="70">
        <v>13</v>
      </c>
      <c r="B14" s="67" t="s">
        <v>57</v>
      </c>
      <c r="C14" s="67" t="s">
        <v>330</v>
      </c>
      <c r="D14" s="67" t="s">
        <v>331</v>
      </c>
      <c r="E14" s="71">
        <v>5678310</v>
      </c>
      <c r="F14" s="71" t="s">
        <v>332</v>
      </c>
      <c r="G14" s="70" t="s">
        <v>301</v>
      </c>
      <c r="H14" s="71" t="s">
        <v>302</v>
      </c>
      <c r="I14" s="71" t="s">
        <v>303</v>
      </c>
    </row>
    <row r="15" spans="1:9" x14ac:dyDescent="0.25">
      <c r="A15" s="70">
        <v>14</v>
      </c>
      <c r="B15" s="67" t="s">
        <v>57</v>
      </c>
      <c r="C15" s="67" t="s">
        <v>330</v>
      </c>
      <c r="D15" s="67" t="s">
        <v>331</v>
      </c>
      <c r="E15" s="71">
        <v>5678310</v>
      </c>
      <c r="F15" s="71" t="s">
        <v>332</v>
      </c>
      <c r="G15" s="70" t="s">
        <v>301</v>
      </c>
      <c r="H15" s="71" t="s">
        <v>302</v>
      </c>
      <c r="I15" s="71" t="s">
        <v>303</v>
      </c>
    </row>
    <row r="16" spans="1:9" x14ac:dyDescent="0.25">
      <c r="A16" s="70">
        <v>15</v>
      </c>
      <c r="B16" s="67" t="s">
        <v>57</v>
      </c>
      <c r="C16" s="67" t="s">
        <v>330</v>
      </c>
      <c r="D16" s="67" t="s">
        <v>331</v>
      </c>
      <c r="E16" s="71">
        <v>5678310</v>
      </c>
      <c r="F16" s="71" t="s">
        <v>332</v>
      </c>
      <c r="G16" s="70" t="s">
        <v>301</v>
      </c>
      <c r="H16" s="71" t="s">
        <v>302</v>
      </c>
      <c r="I16" s="71" t="s">
        <v>303</v>
      </c>
    </row>
    <row r="17" spans="1:9" x14ac:dyDescent="0.25">
      <c r="A17" s="70">
        <v>16</v>
      </c>
      <c r="B17" s="67" t="s">
        <v>57</v>
      </c>
      <c r="C17" s="67" t="s">
        <v>330</v>
      </c>
      <c r="D17" s="67" t="s">
        <v>331</v>
      </c>
      <c r="E17" s="71">
        <v>5678310</v>
      </c>
      <c r="F17" s="71" t="s">
        <v>332</v>
      </c>
      <c r="G17" s="70" t="s">
        <v>301</v>
      </c>
      <c r="H17" s="71" t="s">
        <v>302</v>
      </c>
      <c r="I17" s="71" t="s">
        <v>303</v>
      </c>
    </row>
    <row r="18" spans="1:9" x14ac:dyDescent="0.25">
      <c r="A18" s="70">
        <v>17</v>
      </c>
      <c r="B18" s="67" t="s">
        <v>57</v>
      </c>
      <c r="C18" s="67" t="s">
        <v>330</v>
      </c>
      <c r="D18" s="67" t="s">
        <v>331</v>
      </c>
      <c r="E18" s="71">
        <v>5678310</v>
      </c>
      <c r="F18" s="71" t="s">
        <v>332</v>
      </c>
      <c r="G18" s="70" t="s">
        <v>301</v>
      </c>
      <c r="H18" s="71" t="s">
        <v>302</v>
      </c>
      <c r="I18" s="71" t="s">
        <v>303</v>
      </c>
    </row>
    <row r="19" spans="1:9" x14ac:dyDescent="0.25">
      <c r="A19" s="70">
        <v>18</v>
      </c>
      <c r="B19" s="67" t="s">
        <v>57</v>
      </c>
      <c r="C19" s="67" t="s">
        <v>330</v>
      </c>
      <c r="D19" s="67" t="s">
        <v>331</v>
      </c>
      <c r="E19" s="71">
        <v>5678310</v>
      </c>
      <c r="F19" s="71" t="s">
        <v>332</v>
      </c>
      <c r="G19" s="70" t="s">
        <v>301</v>
      </c>
      <c r="H19" s="71" t="s">
        <v>302</v>
      </c>
      <c r="I19" s="71" t="s">
        <v>303</v>
      </c>
    </row>
    <row r="20" spans="1:9" x14ac:dyDescent="0.25">
      <c r="A20" s="70">
        <v>19</v>
      </c>
      <c r="B20" s="67" t="s">
        <v>57</v>
      </c>
      <c r="C20" s="67" t="s">
        <v>330</v>
      </c>
      <c r="D20" s="67" t="s">
        <v>331</v>
      </c>
      <c r="E20" s="71">
        <v>5678310</v>
      </c>
      <c r="F20" s="71" t="s">
        <v>332</v>
      </c>
      <c r="G20" s="70" t="s">
        <v>301</v>
      </c>
      <c r="H20" s="71" t="s">
        <v>302</v>
      </c>
      <c r="I20" s="71" t="s">
        <v>303</v>
      </c>
    </row>
    <row r="21" spans="1:9" x14ac:dyDescent="0.25">
      <c r="A21" s="70">
        <v>20</v>
      </c>
      <c r="B21" s="67" t="s">
        <v>57</v>
      </c>
      <c r="C21" s="67" t="s">
        <v>330</v>
      </c>
      <c r="D21" s="67" t="s">
        <v>331</v>
      </c>
      <c r="E21" s="71">
        <v>5678310</v>
      </c>
      <c r="F21" s="71" t="s">
        <v>332</v>
      </c>
      <c r="G21" s="70" t="s">
        <v>301</v>
      </c>
      <c r="H21" s="71" t="s">
        <v>302</v>
      </c>
      <c r="I21" s="71" t="s">
        <v>303</v>
      </c>
    </row>
    <row r="22" spans="1:9" x14ac:dyDescent="0.25">
      <c r="A22" s="70">
        <v>21</v>
      </c>
      <c r="B22" s="67" t="s">
        <v>57</v>
      </c>
      <c r="C22" s="67" t="s">
        <v>330</v>
      </c>
      <c r="D22" s="67" t="s">
        <v>331</v>
      </c>
      <c r="E22" s="71">
        <v>5678310</v>
      </c>
      <c r="F22" s="71" t="s">
        <v>332</v>
      </c>
      <c r="G22" s="70" t="s">
        <v>301</v>
      </c>
      <c r="H22" s="71" t="s">
        <v>302</v>
      </c>
      <c r="I22" s="71" t="s">
        <v>303</v>
      </c>
    </row>
    <row r="23" spans="1:9" x14ac:dyDescent="0.25">
      <c r="A23" s="70">
        <v>22</v>
      </c>
      <c r="B23" s="67" t="s">
        <v>57</v>
      </c>
      <c r="C23" s="67" t="s">
        <v>330</v>
      </c>
      <c r="D23" s="67" t="s">
        <v>331</v>
      </c>
      <c r="E23" s="71">
        <v>5678310</v>
      </c>
      <c r="F23" s="71" t="s">
        <v>332</v>
      </c>
      <c r="G23" s="70" t="s">
        <v>301</v>
      </c>
      <c r="H23" s="71" t="s">
        <v>302</v>
      </c>
      <c r="I23" s="71" t="s">
        <v>303</v>
      </c>
    </row>
    <row r="24" spans="1:9" x14ac:dyDescent="0.25">
      <c r="A24" s="70">
        <v>23</v>
      </c>
      <c r="B24" s="67" t="s">
        <v>57</v>
      </c>
      <c r="C24" s="67" t="s">
        <v>330</v>
      </c>
      <c r="D24" s="67" t="s">
        <v>331</v>
      </c>
      <c r="E24" s="71">
        <v>5678310</v>
      </c>
      <c r="F24" s="71" t="s">
        <v>332</v>
      </c>
      <c r="G24" s="70" t="s">
        <v>301</v>
      </c>
      <c r="H24" s="71" t="s">
        <v>302</v>
      </c>
      <c r="I24" s="71" t="s">
        <v>303</v>
      </c>
    </row>
    <row r="25" spans="1:9" x14ac:dyDescent="0.25">
      <c r="A25" s="70">
        <v>24</v>
      </c>
      <c r="B25" s="67" t="s">
        <v>57</v>
      </c>
      <c r="C25" s="67" t="s">
        <v>330</v>
      </c>
      <c r="D25" s="67" t="s">
        <v>331</v>
      </c>
      <c r="E25" s="71">
        <v>5678310</v>
      </c>
      <c r="F25" s="71" t="s">
        <v>332</v>
      </c>
      <c r="G25" s="70" t="s">
        <v>301</v>
      </c>
      <c r="H25" s="71" t="s">
        <v>302</v>
      </c>
      <c r="I25" s="71" t="s">
        <v>303</v>
      </c>
    </row>
    <row r="26" spans="1:9" x14ac:dyDescent="0.25">
      <c r="A26" s="70">
        <v>25</v>
      </c>
      <c r="B26" s="67" t="s">
        <v>57</v>
      </c>
      <c r="C26" s="67" t="s">
        <v>330</v>
      </c>
      <c r="D26" s="67" t="s">
        <v>331</v>
      </c>
      <c r="E26" s="71">
        <v>5678310</v>
      </c>
      <c r="F26" s="71" t="s">
        <v>332</v>
      </c>
      <c r="G26" s="70" t="s">
        <v>301</v>
      </c>
      <c r="H26" s="71" t="s">
        <v>302</v>
      </c>
      <c r="I26" s="71" t="s">
        <v>303</v>
      </c>
    </row>
    <row r="27" spans="1:9" x14ac:dyDescent="0.25">
      <c r="A27" s="70">
        <v>26</v>
      </c>
      <c r="B27" s="67" t="s">
        <v>57</v>
      </c>
      <c r="C27" s="67" t="s">
        <v>330</v>
      </c>
      <c r="D27" s="67" t="s">
        <v>331</v>
      </c>
      <c r="E27" s="71">
        <v>5678310</v>
      </c>
      <c r="F27" s="71" t="s">
        <v>332</v>
      </c>
      <c r="G27" s="70" t="s">
        <v>301</v>
      </c>
      <c r="H27" s="71" t="s">
        <v>302</v>
      </c>
      <c r="I27" s="71" t="s">
        <v>303</v>
      </c>
    </row>
    <row r="28" spans="1:9" x14ac:dyDescent="0.25">
      <c r="A28" s="70">
        <v>27</v>
      </c>
      <c r="B28" s="67" t="s">
        <v>57</v>
      </c>
      <c r="C28" s="67" t="s">
        <v>330</v>
      </c>
      <c r="D28" s="67" t="s">
        <v>331</v>
      </c>
      <c r="E28" s="71">
        <v>5678310</v>
      </c>
      <c r="F28" s="71" t="s">
        <v>332</v>
      </c>
      <c r="G28" s="70" t="s">
        <v>301</v>
      </c>
      <c r="H28" s="71" t="s">
        <v>302</v>
      </c>
      <c r="I28" s="71" t="s">
        <v>303</v>
      </c>
    </row>
    <row r="29" spans="1:9" x14ac:dyDescent="0.25">
      <c r="A29" s="70">
        <v>28</v>
      </c>
      <c r="B29" s="67" t="s">
        <v>57</v>
      </c>
      <c r="C29" s="67" t="s">
        <v>330</v>
      </c>
      <c r="D29" s="67" t="s">
        <v>331</v>
      </c>
      <c r="E29" s="71">
        <v>5678310</v>
      </c>
      <c r="F29" s="71" t="s">
        <v>332</v>
      </c>
      <c r="G29" s="70" t="s">
        <v>301</v>
      </c>
      <c r="H29" s="71" t="s">
        <v>302</v>
      </c>
      <c r="I29" s="71" t="s">
        <v>303</v>
      </c>
    </row>
    <row r="30" spans="1:9" x14ac:dyDescent="0.25">
      <c r="A30" s="70">
        <v>29</v>
      </c>
      <c r="B30" s="67" t="s">
        <v>57</v>
      </c>
      <c r="C30" s="67" t="s">
        <v>330</v>
      </c>
      <c r="D30" s="67" t="s">
        <v>331</v>
      </c>
      <c r="E30" s="71">
        <v>5678310</v>
      </c>
      <c r="F30" s="71" t="s">
        <v>332</v>
      </c>
      <c r="G30" s="70" t="s">
        <v>301</v>
      </c>
      <c r="H30" s="71" t="s">
        <v>302</v>
      </c>
      <c r="I30" s="71" t="s">
        <v>303</v>
      </c>
    </row>
    <row r="31" spans="1:9" x14ac:dyDescent="0.25">
      <c r="A31" s="70">
        <v>30</v>
      </c>
      <c r="B31" s="67" t="s">
        <v>57</v>
      </c>
      <c r="C31" s="67" t="s">
        <v>330</v>
      </c>
      <c r="D31" s="67" t="s">
        <v>331</v>
      </c>
      <c r="E31" s="71">
        <v>5678310</v>
      </c>
      <c r="F31" s="71" t="s">
        <v>332</v>
      </c>
      <c r="G31" s="70" t="s">
        <v>301</v>
      </c>
      <c r="H31" s="71" t="s">
        <v>302</v>
      </c>
      <c r="I31" s="71" t="s">
        <v>303</v>
      </c>
    </row>
    <row r="32" spans="1:9" x14ac:dyDescent="0.25">
      <c r="A32" s="70">
        <v>31</v>
      </c>
      <c r="B32" s="67" t="s">
        <v>57</v>
      </c>
      <c r="C32" s="67" t="s">
        <v>330</v>
      </c>
      <c r="D32" s="67" t="s">
        <v>331</v>
      </c>
      <c r="E32" s="71">
        <v>5678310</v>
      </c>
      <c r="F32" s="71" t="s">
        <v>332</v>
      </c>
      <c r="G32" s="70" t="s">
        <v>301</v>
      </c>
      <c r="H32" s="71" t="s">
        <v>302</v>
      </c>
      <c r="I32" s="71" t="s">
        <v>303</v>
      </c>
    </row>
    <row r="33" spans="1:9" x14ac:dyDescent="0.25">
      <c r="A33" s="70">
        <v>32</v>
      </c>
      <c r="B33" s="67" t="s">
        <v>57</v>
      </c>
      <c r="C33" s="67" t="s">
        <v>330</v>
      </c>
      <c r="D33" s="67" t="s">
        <v>331</v>
      </c>
      <c r="E33" s="71">
        <v>5678310</v>
      </c>
      <c r="F33" s="71" t="s">
        <v>332</v>
      </c>
      <c r="G33" s="70" t="s">
        <v>301</v>
      </c>
      <c r="H33" s="71" t="s">
        <v>302</v>
      </c>
      <c r="I33" s="71" t="s">
        <v>303</v>
      </c>
    </row>
    <row r="34" spans="1:9" x14ac:dyDescent="0.25">
      <c r="A34" s="70">
        <v>33</v>
      </c>
      <c r="B34" s="67" t="s">
        <v>57</v>
      </c>
      <c r="C34" s="67" t="s">
        <v>330</v>
      </c>
      <c r="D34" s="67" t="s">
        <v>331</v>
      </c>
      <c r="E34" s="71">
        <v>5678310</v>
      </c>
      <c r="F34" s="71" t="s">
        <v>332</v>
      </c>
      <c r="G34" s="70" t="s">
        <v>301</v>
      </c>
      <c r="H34" s="71" t="s">
        <v>302</v>
      </c>
      <c r="I34" s="71" t="s">
        <v>303</v>
      </c>
    </row>
    <row r="35" spans="1:9" x14ac:dyDescent="0.25">
      <c r="A35" s="70">
        <v>34</v>
      </c>
      <c r="B35" s="67" t="s">
        <v>57</v>
      </c>
      <c r="C35" s="67" t="s">
        <v>330</v>
      </c>
      <c r="D35" s="67" t="s">
        <v>331</v>
      </c>
      <c r="E35" s="71">
        <v>5678310</v>
      </c>
      <c r="F35" s="71" t="s">
        <v>332</v>
      </c>
      <c r="G35" s="70" t="s">
        <v>301</v>
      </c>
      <c r="H35" s="71" t="s">
        <v>302</v>
      </c>
      <c r="I35" s="71" t="s">
        <v>303</v>
      </c>
    </row>
    <row r="36" spans="1:9" x14ac:dyDescent="0.25">
      <c r="A36" s="70">
        <v>35</v>
      </c>
      <c r="B36" s="67" t="s">
        <v>57</v>
      </c>
      <c r="C36" s="67" t="s">
        <v>330</v>
      </c>
      <c r="D36" s="67" t="s">
        <v>331</v>
      </c>
      <c r="E36" s="71">
        <v>5678310</v>
      </c>
      <c r="F36" s="71" t="s">
        <v>332</v>
      </c>
      <c r="G36" s="70" t="s">
        <v>301</v>
      </c>
      <c r="H36" s="71" t="s">
        <v>302</v>
      </c>
      <c r="I36" s="71" t="s">
        <v>303</v>
      </c>
    </row>
    <row r="37" spans="1:9" x14ac:dyDescent="0.25">
      <c r="A37" s="70">
        <v>36</v>
      </c>
      <c r="B37" s="67" t="s">
        <v>57</v>
      </c>
      <c r="C37" s="67" t="s">
        <v>330</v>
      </c>
      <c r="D37" s="67" t="s">
        <v>331</v>
      </c>
      <c r="E37" s="71">
        <v>5678310</v>
      </c>
      <c r="F37" s="71" t="s">
        <v>332</v>
      </c>
      <c r="G37" s="70" t="s">
        <v>301</v>
      </c>
      <c r="H37" s="71" t="s">
        <v>302</v>
      </c>
      <c r="I37" s="71" t="s">
        <v>303</v>
      </c>
    </row>
    <row r="38" spans="1:9" x14ac:dyDescent="0.25">
      <c r="A38" s="70">
        <v>37</v>
      </c>
      <c r="B38" s="67" t="s">
        <v>57</v>
      </c>
      <c r="C38" s="67" t="s">
        <v>330</v>
      </c>
      <c r="D38" s="67" t="s">
        <v>331</v>
      </c>
      <c r="E38" s="71">
        <v>5678310</v>
      </c>
      <c r="F38" s="71" t="s">
        <v>332</v>
      </c>
      <c r="G38" s="70" t="s">
        <v>301</v>
      </c>
      <c r="H38" s="71" t="s">
        <v>302</v>
      </c>
      <c r="I38" s="71" t="s">
        <v>303</v>
      </c>
    </row>
    <row r="39" spans="1:9" x14ac:dyDescent="0.25">
      <c r="A39" s="70">
        <v>38</v>
      </c>
      <c r="B39" s="67" t="s">
        <v>57</v>
      </c>
      <c r="C39" s="67" t="s">
        <v>330</v>
      </c>
      <c r="D39" s="67" t="s">
        <v>331</v>
      </c>
      <c r="E39" s="71">
        <v>5678310</v>
      </c>
      <c r="F39" s="71" t="s">
        <v>332</v>
      </c>
      <c r="G39" s="70" t="s">
        <v>301</v>
      </c>
      <c r="H39" s="71" t="s">
        <v>302</v>
      </c>
      <c r="I39" s="71" t="s">
        <v>303</v>
      </c>
    </row>
    <row r="40" spans="1:9" x14ac:dyDescent="0.25">
      <c r="A40" s="70">
        <v>39</v>
      </c>
      <c r="B40" s="67" t="s">
        <v>57</v>
      </c>
      <c r="C40" s="67" t="s">
        <v>330</v>
      </c>
      <c r="D40" s="67" t="s">
        <v>331</v>
      </c>
      <c r="E40" s="71">
        <v>5678310</v>
      </c>
      <c r="F40" s="71" t="s">
        <v>332</v>
      </c>
      <c r="G40" s="70" t="s">
        <v>301</v>
      </c>
      <c r="H40" s="71" t="s">
        <v>302</v>
      </c>
      <c r="I40" s="71" t="s">
        <v>303</v>
      </c>
    </row>
    <row r="41" spans="1:9" x14ac:dyDescent="0.25">
      <c r="A41" s="70">
        <v>40</v>
      </c>
      <c r="B41" s="67" t="s">
        <v>57</v>
      </c>
      <c r="C41" s="67" t="s">
        <v>330</v>
      </c>
      <c r="D41" s="67" t="s">
        <v>331</v>
      </c>
      <c r="E41" s="71">
        <v>5678310</v>
      </c>
      <c r="F41" s="71" t="s">
        <v>332</v>
      </c>
      <c r="G41" s="70" t="s">
        <v>301</v>
      </c>
      <c r="H41" s="71" t="s">
        <v>302</v>
      </c>
      <c r="I41" s="71" t="s">
        <v>303</v>
      </c>
    </row>
    <row r="42" spans="1:9" x14ac:dyDescent="0.25">
      <c r="A42" s="70">
        <v>41</v>
      </c>
      <c r="B42" s="67" t="s">
        <v>57</v>
      </c>
      <c r="C42" s="67" t="s">
        <v>330</v>
      </c>
      <c r="D42" s="67" t="s">
        <v>331</v>
      </c>
      <c r="E42" s="71">
        <v>5678310</v>
      </c>
      <c r="F42" s="71" t="s">
        <v>332</v>
      </c>
      <c r="G42" s="70" t="s">
        <v>301</v>
      </c>
      <c r="H42" s="71" t="s">
        <v>302</v>
      </c>
      <c r="I42" s="71" t="s">
        <v>303</v>
      </c>
    </row>
    <row r="43" spans="1:9" x14ac:dyDescent="0.25">
      <c r="A43" s="70">
        <v>42</v>
      </c>
      <c r="B43" s="67" t="s">
        <v>57</v>
      </c>
      <c r="C43" s="67" t="s">
        <v>330</v>
      </c>
      <c r="D43" s="67" t="s">
        <v>331</v>
      </c>
      <c r="E43" s="71">
        <v>5678310</v>
      </c>
      <c r="F43" s="71" t="s">
        <v>332</v>
      </c>
      <c r="G43" s="70" t="s">
        <v>301</v>
      </c>
      <c r="H43" s="71" t="s">
        <v>302</v>
      </c>
      <c r="I43" s="71" t="s">
        <v>303</v>
      </c>
    </row>
    <row r="44" spans="1:9" x14ac:dyDescent="0.25">
      <c r="A44" s="70">
        <v>43</v>
      </c>
      <c r="B44" s="67" t="s">
        <v>57</v>
      </c>
      <c r="C44" s="67" t="s">
        <v>330</v>
      </c>
      <c r="D44" s="67" t="s">
        <v>331</v>
      </c>
      <c r="E44" s="71">
        <v>5678310</v>
      </c>
      <c r="F44" s="71" t="s">
        <v>332</v>
      </c>
      <c r="G44" s="70" t="s">
        <v>301</v>
      </c>
      <c r="H44" s="71" t="s">
        <v>302</v>
      </c>
      <c r="I44" s="71" t="s">
        <v>303</v>
      </c>
    </row>
    <row r="45" spans="1:9" x14ac:dyDescent="0.25">
      <c r="A45" s="70">
        <v>44</v>
      </c>
      <c r="B45" s="67" t="s">
        <v>57</v>
      </c>
      <c r="C45" s="67" t="s">
        <v>330</v>
      </c>
      <c r="D45" s="67" t="s">
        <v>331</v>
      </c>
      <c r="E45" s="71">
        <v>5678310</v>
      </c>
      <c r="F45" s="71" t="s">
        <v>332</v>
      </c>
      <c r="G45" s="70" t="s">
        <v>301</v>
      </c>
      <c r="H45" s="71" t="s">
        <v>302</v>
      </c>
      <c r="I45" s="71" t="s">
        <v>303</v>
      </c>
    </row>
    <row r="46" spans="1:9" x14ac:dyDescent="0.25">
      <c r="A46" s="70">
        <v>45</v>
      </c>
      <c r="B46" s="67" t="s">
        <v>57</v>
      </c>
      <c r="C46" s="67" t="s">
        <v>330</v>
      </c>
      <c r="D46" s="67" t="s">
        <v>331</v>
      </c>
      <c r="E46" s="71">
        <v>5678310</v>
      </c>
      <c r="F46" s="71" t="s">
        <v>332</v>
      </c>
      <c r="G46" s="70" t="s">
        <v>301</v>
      </c>
      <c r="H46" s="71" t="s">
        <v>302</v>
      </c>
      <c r="I46" s="71" t="s">
        <v>303</v>
      </c>
    </row>
    <row r="47" spans="1:9" x14ac:dyDescent="0.25">
      <c r="A47" s="70">
        <v>46</v>
      </c>
      <c r="B47" s="67" t="s">
        <v>57</v>
      </c>
      <c r="C47" s="67" t="s">
        <v>330</v>
      </c>
      <c r="D47" s="67" t="s">
        <v>331</v>
      </c>
      <c r="E47" s="71">
        <v>5678310</v>
      </c>
      <c r="F47" s="71" t="s">
        <v>332</v>
      </c>
      <c r="G47" s="70" t="s">
        <v>301</v>
      </c>
      <c r="H47" s="71" t="s">
        <v>302</v>
      </c>
      <c r="I47" s="71" t="s">
        <v>303</v>
      </c>
    </row>
    <row r="48" spans="1:9" x14ac:dyDescent="0.25">
      <c r="A48" s="70">
        <v>47</v>
      </c>
      <c r="B48" s="67" t="s">
        <v>57</v>
      </c>
      <c r="C48" s="67" t="s">
        <v>330</v>
      </c>
      <c r="D48" s="67" t="s">
        <v>331</v>
      </c>
      <c r="E48" s="71">
        <v>5678310</v>
      </c>
      <c r="F48" s="71" t="s">
        <v>332</v>
      </c>
      <c r="G48" s="70" t="s">
        <v>301</v>
      </c>
      <c r="H48" s="71" t="s">
        <v>302</v>
      </c>
      <c r="I48" s="71" t="s">
        <v>303</v>
      </c>
    </row>
    <row r="49" spans="1:9" x14ac:dyDescent="0.25">
      <c r="A49" s="70">
        <v>48</v>
      </c>
      <c r="B49" s="67" t="s">
        <v>57</v>
      </c>
      <c r="C49" s="67" t="s">
        <v>330</v>
      </c>
      <c r="D49" s="67" t="s">
        <v>331</v>
      </c>
      <c r="E49" s="71">
        <v>5678310</v>
      </c>
      <c r="F49" s="71" t="s">
        <v>332</v>
      </c>
      <c r="G49" s="70" t="s">
        <v>301</v>
      </c>
      <c r="H49" s="71" t="s">
        <v>302</v>
      </c>
      <c r="I49" s="71" t="s">
        <v>303</v>
      </c>
    </row>
    <row r="50" spans="1:9" x14ac:dyDescent="0.25">
      <c r="A50" s="70">
        <v>49</v>
      </c>
      <c r="B50" s="67" t="s">
        <v>57</v>
      </c>
      <c r="C50" s="67" t="s">
        <v>330</v>
      </c>
      <c r="D50" s="67" t="s">
        <v>331</v>
      </c>
      <c r="E50" s="71">
        <v>5678310</v>
      </c>
      <c r="F50" s="71" t="s">
        <v>332</v>
      </c>
      <c r="G50" s="70" t="s">
        <v>301</v>
      </c>
      <c r="H50" s="71" t="s">
        <v>302</v>
      </c>
      <c r="I50" s="71" t="s">
        <v>303</v>
      </c>
    </row>
    <row r="51" spans="1:9" x14ac:dyDescent="0.25">
      <c r="A51" s="70">
        <v>50</v>
      </c>
      <c r="B51" s="67" t="s">
        <v>57</v>
      </c>
      <c r="C51" s="67" t="s">
        <v>330</v>
      </c>
      <c r="D51" s="67" t="s">
        <v>331</v>
      </c>
      <c r="E51" s="71">
        <v>5678310</v>
      </c>
      <c r="F51" s="71" t="s">
        <v>332</v>
      </c>
      <c r="G51" s="70" t="s">
        <v>301</v>
      </c>
      <c r="H51" s="71" t="s">
        <v>302</v>
      </c>
      <c r="I51" s="71" t="s">
        <v>303</v>
      </c>
    </row>
    <row r="52" spans="1:9" x14ac:dyDescent="0.25">
      <c r="A52" s="70">
        <v>51</v>
      </c>
      <c r="B52" s="67" t="s">
        <v>57</v>
      </c>
      <c r="C52" s="67" t="s">
        <v>330</v>
      </c>
      <c r="D52" s="67" t="s">
        <v>331</v>
      </c>
      <c r="E52" s="71">
        <v>5678310</v>
      </c>
      <c r="F52" s="71" t="s">
        <v>332</v>
      </c>
      <c r="G52" s="70" t="s">
        <v>301</v>
      </c>
      <c r="H52" s="71" t="s">
        <v>302</v>
      </c>
      <c r="I52" s="71" t="s">
        <v>303</v>
      </c>
    </row>
    <row r="53" spans="1:9" x14ac:dyDescent="0.25">
      <c r="A53" s="70">
        <v>52</v>
      </c>
      <c r="B53" s="67" t="s">
        <v>57</v>
      </c>
      <c r="C53" s="67" t="s">
        <v>330</v>
      </c>
      <c r="D53" s="67" t="s">
        <v>331</v>
      </c>
      <c r="E53" s="71">
        <v>5678310</v>
      </c>
      <c r="F53" s="71" t="s">
        <v>332</v>
      </c>
      <c r="G53" s="70" t="s">
        <v>301</v>
      </c>
      <c r="H53" s="71" t="s">
        <v>302</v>
      </c>
      <c r="I53" s="71" t="s">
        <v>303</v>
      </c>
    </row>
    <row r="54" spans="1:9" x14ac:dyDescent="0.25">
      <c r="A54" s="70">
        <v>53</v>
      </c>
      <c r="B54" s="67" t="s">
        <v>57</v>
      </c>
      <c r="C54" s="67" t="s">
        <v>330</v>
      </c>
      <c r="D54" s="67" t="s">
        <v>331</v>
      </c>
      <c r="E54" s="71">
        <v>5678310</v>
      </c>
      <c r="F54" s="71" t="s">
        <v>332</v>
      </c>
      <c r="G54" s="70" t="s">
        <v>301</v>
      </c>
      <c r="H54" s="71" t="s">
        <v>302</v>
      </c>
      <c r="I54" s="71" t="s">
        <v>303</v>
      </c>
    </row>
    <row r="55" spans="1:9" x14ac:dyDescent="0.25">
      <c r="A55" s="70">
        <v>54</v>
      </c>
      <c r="B55" s="67" t="s">
        <v>57</v>
      </c>
      <c r="C55" s="67" t="s">
        <v>330</v>
      </c>
      <c r="D55" s="67" t="s">
        <v>331</v>
      </c>
      <c r="E55" s="71">
        <v>5678310</v>
      </c>
      <c r="F55" s="71" t="s">
        <v>332</v>
      </c>
      <c r="G55" s="70" t="s">
        <v>301</v>
      </c>
      <c r="H55" s="71" t="s">
        <v>302</v>
      </c>
      <c r="I55" s="71" t="s">
        <v>303</v>
      </c>
    </row>
    <row r="56" spans="1:9" x14ac:dyDescent="0.25">
      <c r="A56" s="70">
        <v>55</v>
      </c>
      <c r="B56" s="67" t="s">
        <v>57</v>
      </c>
      <c r="C56" s="67" t="s">
        <v>330</v>
      </c>
      <c r="D56" s="67" t="s">
        <v>331</v>
      </c>
      <c r="E56" s="71">
        <v>5678310</v>
      </c>
      <c r="F56" s="71" t="s">
        <v>332</v>
      </c>
      <c r="G56" s="70" t="s">
        <v>301</v>
      </c>
      <c r="H56" s="71" t="s">
        <v>302</v>
      </c>
      <c r="I56" s="71" t="s">
        <v>303</v>
      </c>
    </row>
    <row r="57" spans="1:9" x14ac:dyDescent="0.25">
      <c r="A57" s="70">
        <v>56</v>
      </c>
      <c r="B57" s="67" t="s">
        <v>57</v>
      </c>
      <c r="C57" s="67" t="s">
        <v>330</v>
      </c>
      <c r="D57" s="67" t="s">
        <v>331</v>
      </c>
      <c r="E57" s="71">
        <v>5678310</v>
      </c>
      <c r="F57" s="71" t="s">
        <v>332</v>
      </c>
      <c r="G57" s="70" t="s">
        <v>301</v>
      </c>
      <c r="H57" s="71" t="s">
        <v>302</v>
      </c>
      <c r="I57" s="71" t="s">
        <v>303</v>
      </c>
    </row>
    <row r="58" spans="1:9" x14ac:dyDescent="0.25">
      <c r="A58" s="70">
        <v>57</v>
      </c>
      <c r="B58" s="67" t="s">
        <v>57</v>
      </c>
      <c r="C58" s="67" t="s">
        <v>330</v>
      </c>
      <c r="D58" s="67" t="s">
        <v>331</v>
      </c>
      <c r="E58" s="71">
        <v>5678310</v>
      </c>
      <c r="F58" s="71" t="s">
        <v>332</v>
      </c>
      <c r="G58" s="70" t="s">
        <v>301</v>
      </c>
      <c r="H58" s="71" t="s">
        <v>302</v>
      </c>
      <c r="I58" s="71" t="s">
        <v>303</v>
      </c>
    </row>
    <row r="59" spans="1:9" x14ac:dyDescent="0.25">
      <c r="A59" s="70">
        <v>58</v>
      </c>
      <c r="B59" s="67" t="s">
        <v>57</v>
      </c>
      <c r="C59" s="67" t="s">
        <v>330</v>
      </c>
      <c r="D59" s="67" t="s">
        <v>331</v>
      </c>
      <c r="E59" s="71">
        <v>5678310</v>
      </c>
      <c r="F59" s="71" t="s">
        <v>332</v>
      </c>
      <c r="G59" s="70" t="s">
        <v>301</v>
      </c>
      <c r="H59" s="71" t="s">
        <v>302</v>
      </c>
      <c r="I59" s="71" t="s">
        <v>303</v>
      </c>
    </row>
    <row r="60" spans="1:9" x14ac:dyDescent="0.25">
      <c r="A60" s="70">
        <v>59</v>
      </c>
      <c r="B60" s="67" t="s">
        <v>57</v>
      </c>
      <c r="C60" s="67" t="s">
        <v>330</v>
      </c>
      <c r="D60" s="67" t="s">
        <v>331</v>
      </c>
      <c r="E60" s="71">
        <v>5678310</v>
      </c>
      <c r="F60" s="71" t="s">
        <v>332</v>
      </c>
      <c r="G60" s="70" t="s">
        <v>301</v>
      </c>
      <c r="H60" s="71" t="s">
        <v>302</v>
      </c>
      <c r="I60" s="71" t="s">
        <v>303</v>
      </c>
    </row>
    <row r="61" spans="1:9" x14ac:dyDescent="0.25">
      <c r="A61" s="70">
        <v>60</v>
      </c>
      <c r="B61" s="67" t="s">
        <v>57</v>
      </c>
      <c r="C61" s="67" t="s">
        <v>330</v>
      </c>
      <c r="D61" s="67" t="s">
        <v>331</v>
      </c>
      <c r="E61" s="71">
        <v>5678310</v>
      </c>
      <c r="F61" s="71" t="s">
        <v>332</v>
      </c>
      <c r="G61" s="70" t="s">
        <v>301</v>
      </c>
      <c r="H61" s="71" t="s">
        <v>302</v>
      </c>
      <c r="I61" s="71" t="s">
        <v>303</v>
      </c>
    </row>
    <row r="62" spans="1:9" x14ac:dyDescent="0.25">
      <c r="A62" s="70">
        <v>61</v>
      </c>
      <c r="B62" s="67" t="s">
        <v>57</v>
      </c>
      <c r="C62" s="67" t="s">
        <v>330</v>
      </c>
      <c r="D62" s="67" t="s">
        <v>331</v>
      </c>
      <c r="E62" s="71">
        <v>5678310</v>
      </c>
      <c r="F62" s="71" t="s">
        <v>332</v>
      </c>
      <c r="G62" s="70" t="s">
        <v>301</v>
      </c>
      <c r="H62" s="71" t="s">
        <v>302</v>
      </c>
      <c r="I62" s="71" t="s">
        <v>303</v>
      </c>
    </row>
    <row r="63" spans="1:9" x14ac:dyDescent="0.25">
      <c r="A63" s="70">
        <v>62</v>
      </c>
      <c r="B63" s="67" t="s">
        <v>57</v>
      </c>
      <c r="C63" s="67" t="s">
        <v>330</v>
      </c>
      <c r="D63" s="67" t="s">
        <v>331</v>
      </c>
      <c r="E63" s="71">
        <v>5678310</v>
      </c>
      <c r="F63" s="71" t="s">
        <v>332</v>
      </c>
      <c r="G63" s="70" t="s">
        <v>301</v>
      </c>
      <c r="H63" s="71" t="s">
        <v>302</v>
      </c>
      <c r="I63" s="71" t="s">
        <v>303</v>
      </c>
    </row>
    <row r="64" spans="1:9" x14ac:dyDescent="0.25">
      <c r="A64" s="70">
        <v>63</v>
      </c>
      <c r="B64" s="67" t="s">
        <v>57</v>
      </c>
      <c r="C64" s="67" t="s">
        <v>330</v>
      </c>
      <c r="D64" s="67" t="s">
        <v>331</v>
      </c>
      <c r="E64" s="71">
        <v>5678310</v>
      </c>
      <c r="F64" s="71" t="s">
        <v>332</v>
      </c>
      <c r="G64" s="70" t="s">
        <v>301</v>
      </c>
      <c r="H64" s="71" t="s">
        <v>302</v>
      </c>
      <c r="I64" s="71" t="s">
        <v>303</v>
      </c>
    </row>
    <row r="65" spans="1:9" x14ac:dyDescent="0.25">
      <c r="A65" s="70">
        <v>64</v>
      </c>
      <c r="B65" s="67" t="s">
        <v>57</v>
      </c>
      <c r="C65" s="67" t="s">
        <v>330</v>
      </c>
      <c r="D65" s="67" t="s">
        <v>331</v>
      </c>
      <c r="E65" s="71">
        <v>5678310</v>
      </c>
      <c r="F65" s="71" t="s">
        <v>332</v>
      </c>
      <c r="G65" s="70" t="s">
        <v>301</v>
      </c>
      <c r="H65" s="71" t="s">
        <v>302</v>
      </c>
      <c r="I65" s="71" t="s">
        <v>303</v>
      </c>
    </row>
    <row r="66" spans="1:9" x14ac:dyDescent="0.25">
      <c r="A66" s="70">
        <v>65</v>
      </c>
      <c r="B66" s="67" t="s">
        <v>57</v>
      </c>
      <c r="C66" s="67" t="s">
        <v>330</v>
      </c>
      <c r="D66" s="67" t="s">
        <v>331</v>
      </c>
      <c r="E66" s="71">
        <v>5678310</v>
      </c>
      <c r="F66" s="71" t="s">
        <v>332</v>
      </c>
      <c r="G66" s="70" t="s">
        <v>301</v>
      </c>
      <c r="H66" s="71" t="s">
        <v>302</v>
      </c>
      <c r="I66" s="71" t="s">
        <v>303</v>
      </c>
    </row>
    <row r="67" spans="1:9" x14ac:dyDescent="0.25">
      <c r="A67" s="70">
        <v>66</v>
      </c>
      <c r="B67" s="67" t="s">
        <v>57</v>
      </c>
      <c r="C67" s="67" t="s">
        <v>330</v>
      </c>
      <c r="D67" s="67" t="s">
        <v>331</v>
      </c>
      <c r="E67" s="71">
        <v>5678310</v>
      </c>
      <c r="F67" s="71" t="s">
        <v>332</v>
      </c>
      <c r="G67" s="70" t="s">
        <v>301</v>
      </c>
      <c r="H67" s="71" t="s">
        <v>302</v>
      </c>
      <c r="I67" s="71" t="s">
        <v>303</v>
      </c>
    </row>
    <row r="68" spans="1:9" x14ac:dyDescent="0.25">
      <c r="A68" s="70">
        <v>67</v>
      </c>
      <c r="B68" s="67" t="s">
        <v>57</v>
      </c>
      <c r="C68" s="67" t="s">
        <v>330</v>
      </c>
      <c r="D68" s="67" t="s">
        <v>331</v>
      </c>
      <c r="E68" s="71">
        <v>5678310</v>
      </c>
      <c r="F68" s="71" t="s">
        <v>332</v>
      </c>
      <c r="G68" s="70" t="s">
        <v>301</v>
      </c>
      <c r="H68" s="71" t="s">
        <v>302</v>
      </c>
      <c r="I68" s="71" t="s">
        <v>303</v>
      </c>
    </row>
    <row r="69" spans="1:9" x14ac:dyDescent="0.25">
      <c r="A69" s="70">
        <v>68</v>
      </c>
      <c r="B69" s="67" t="s">
        <v>57</v>
      </c>
      <c r="C69" s="67" t="s">
        <v>330</v>
      </c>
      <c r="D69" s="67" t="s">
        <v>331</v>
      </c>
      <c r="E69" s="71">
        <v>5678310</v>
      </c>
      <c r="F69" s="71" t="s">
        <v>332</v>
      </c>
      <c r="G69" s="70" t="s">
        <v>301</v>
      </c>
      <c r="H69" s="71" t="s">
        <v>302</v>
      </c>
      <c r="I69" s="71" t="s">
        <v>303</v>
      </c>
    </row>
    <row r="70" spans="1:9" x14ac:dyDescent="0.25">
      <c r="A70" s="70">
        <v>69</v>
      </c>
      <c r="B70" s="67" t="s">
        <v>57</v>
      </c>
      <c r="C70" s="67" t="s">
        <v>330</v>
      </c>
      <c r="D70" s="67" t="s">
        <v>331</v>
      </c>
      <c r="E70" s="71">
        <v>5678310</v>
      </c>
      <c r="F70" s="71" t="s">
        <v>332</v>
      </c>
      <c r="G70" s="70" t="s">
        <v>301</v>
      </c>
      <c r="H70" s="71" t="s">
        <v>302</v>
      </c>
      <c r="I70" s="71" t="s">
        <v>303</v>
      </c>
    </row>
    <row r="71" spans="1:9" x14ac:dyDescent="0.25">
      <c r="A71" s="70">
        <v>70</v>
      </c>
      <c r="B71" s="67" t="s">
        <v>57</v>
      </c>
      <c r="C71" s="67" t="s">
        <v>330</v>
      </c>
      <c r="D71" s="67" t="s">
        <v>331</v>
      </c>
      <c r="E71" s="71">
        <v>5678310</v>
      </c>
      <c r="F71" s="71" t="s">
        <v>332</v>
      </c>
      <c r="G71" s="70" t="s">
        <v>301</v>
      </c>
      <c r="H71" s="71" t="s">
        <v>302</v>
      </c>
      <c r="I71" s="71" t="s">
        <v>303</v>
      </c>
    </row>
    <row r="72" spans="1:9" x14ac:dyDescent="0.25">
      <c r="A72" s="70">
        <v>71</v>
      </c>
      <c r="B72" s="67" t="s">
        <v>57</v>
      </c>
      <c r="C72" s="67" t="s">
        <v>330</v>
      </c>
      <c r="D72" s="67" t="s">
        <v>331</v>
      </c>
      <c r="E72" s="71">
        <v>5678310</v>
      </c>
      <c r="F72" s="71" t="s">
        <v>332</v>
      </c>
      <c r="G72" s="70" t="s">
        <v>301</v>
      </c>
      <c r="H72" s="71" t="s">
        <v>302</v>
      </c>
      <c r="I72" s="71" t="s">
        <v>303</v>
      </c>
    </row>
    <row r="73" spans="1:9" x14ac:dyDescent="0.25">
      <c r="A73" s="70">
        <v>72</v>
      </c>
      <c r="B73" s="67" t="s">
        <v>57</v>
      </c>
      <c r="C73" s="67" t="s">
        <v>330</v>
      </c>
      <c r="D73" s="67" t="s">
        <v>331</v>
      </c>
      <c r="E73" s="71">
        <v>5678310</v>
      </c>
      <c r="F73" s="71" t="s">
        <v>332</v>
      </c>
      <c r="G73" s="70" t="s">
        <v>301</v>
      </c>
      <c r="H73" s="71" t="s">
        <v>302</v>
      </c>
      <c r="I73" s="71" t="s">
        <v>303</v>
      </c>
    </row>
    <row r="74" spans="1:9" x14ac:dyDescent="0.25">
      <c r="A74" s="70">
        <v>73</v>
      </c>
      <c r="B74" s="67" t="s">
        <v>57</v>
      </c>
      <c r="C74" s="67" t="s">
        <v>330</v>
      </c>
      <c r="D74" s="67" t="s">
        <v>331</v>
      </c>
      <c r="E74" s="71">
        <v>5678310</v>
      </c>
      <c r="F74" s="71" t="s">
        <v>332</v>
      </c>
      <c r="G74" s="70" t="s">
        <v>301</v>
      </c>
      <c r="H74" s="71" t="s">
        <v>302</v>
      </c>
      <c r="I74" s="71" t="s">
        <v>303</v>
      </c>
    </row>
    <row r="75" spans="1:9" x14ac:dyDescent="0.25">
      <c r="A75" s="70">
        <v>74</v>
      </c>
      <c r="B75" s="67" t="s">
        <v>57</v>
      </c>
      <c r="C75" s="67" t="s">
        <v>330</v>
      </c>
      <c r="D75" s="67" t="s">
        <v>331</v>
      </c>
      <c r="E75" s="71">
        <v>5678310</v>
      </c>
      <c r="F75" s="71" t="s">
        <v>332</v>
      </c>
      <c r="G75" s="70" t="s">
        <v>301</v>
      </c>
      <c r="H75" s="71" t="s">
        <v>302</v>
      </c>
      <c r="I75" s="71" t="s">
        <v>303</v>
      </c>
    </row>
    <row r="76" spans="1:9" x14ac:dyDescent="0.25">
      <c r="A76" s="70">
        <v>75</v>
      </c>
      <c r="B76" s="67" t="s">
        <v>57</v>
      </c>
      <c r="C76" s="67" t="s">
        <v>330</v>
      </c>
      <c r="D76" s="67" t="s">
        <v>331</v>
      </c>
      <c r="E76" s="71">
        <v>5678310</v>
      </c>
      <c r="F76" s="71" t="s">
        <v>332</v>
      </c>
      <c r="G76" s="70" t="s">
        <v>301</v>
      </c>
      <c r="H76" s="71" t="s">
        <v>302</v>
      </c>
      <c r="I76" s="71" t="s">
        <v>303</v>
      </c>
    </row>
    <row r="77" spans="1:9" x14ac:dyDescent="0.25">
      <c r="A77" s="70">
        <v>76</v>
      </c>
      <c r="B77" s="67" t="s">
        <v>57</v>
      </c>
      <c r="C77" s="67" t="s">
        <v>330</v>
      </c>
      <c r="D77" s="67" t="s">
        <v>331</v>
      </c>
      <c r="E77" s="71">
        <v>5678310</v>
      </c>
      <c r="F77" s="71" t="s">
        <v>332</v>
      </c>
      <c r="G77" s="70" t="s">
        <v>301</v>
      </c>
      <c r="H77" s="71" t="s">
        <v>302</v>
      </c>
      <c r="I77" s="71" t="s">
        <v>303</v>
      </c>
    </row>
    <row r="78" spans="1:9" x14ac:dyDescent="0.25">
      <c r="A78" s="70">
        <v>77</v>
      </c>
      <c r="B78" s="67" t="s">
        <v>57</v>
      </c>
      <c r="C78" s="67" t="s">
        <v>330</v>
      </c>
      <c r="D78" s="67" t="s">
        <v>331</v>
      </c>
      <c r="E78" s="71">
        <v>5678310</v>
      </c>
      <c r="F78" s="71" t="s">
        <v>332</v>
      </c>
      <c r="G78" s="70" t="s">
        <v>301</v>
      </c>
      <c r="H78" s="71" t="s">
        <v>302</v>
      </c>
      <c r="I78" s="71" t="s">
        <v>303</v>
      </c>
    </row>
    <row r="79" spans="1:9" x14ac:dyDescent="0.25">
      <c r="A79" s="70">
        <v>78</v>
      </c>
      <c r="B79" s="67" t="s">
        <v>57</v>
      </c>
      <c r="C79" s="67" t="s">
        <v>330</v>
      </c>
      <c r="D79" s="67" t="s">
        <v>331</v>
      </c>
      <c r="E79" s="71">
        <v>5678310</v>
      </c>
      <c r="F79" s="71" t="s">
        <v>332</v>
      </c>
      <c r="G79" s="70" t="s">
        <v>301</v>
      </c>
      <c r="H79" s="71" t="s">
        <v>302</v>
      </c>
      <c r="I79" s="71" t="s">
        <v>303</v>
      </c>
    </row>
    <row r="80" spans="1:9" x14ac:dyDescent="0.25">
      <c r="A80" s="70">
        <v>79</v>
      </c>
      <c r="B80" s="67" t="s">
        <v>57</v>
      </c>
      <c r="C80" s="67" t="s">
        <v>330</v>
      </c>
      <c r="D80" s="67" t="s">
        <v>331</v>
      </c>
      <c r="E80" s="71">
        <v>5678310</v>
      </c>
      <c r="F80" s="71" t="s">
        <v>332</v>
      </c>
      <c r="G80" s="70" t="s">
        <v>301</v>
      </c>
      <c r="H80" s="71" t="s">
        <v>302</v>
      </c>
      <c r="I80" s="71" t="s">
        <v>303</v>
      </c>
    </row>
    <row r="81" spans="1:9" x14ac:dyDescent="0.25">
      <c r="A81" s="70">
        <v>80</v>
      </c>
      <c r="B81" s="67" t="s">
        <v>57</v>
      </c>
      <c r="C81" s="67" t="s">
        <v>330</v>
      </c>
      <c r="D81" s="67" t="s">
        <v>331</v>
      </c>
      <c r="E81" s="71">
        <v>5678310</v>
      </c>
      <c r="F81" s="71" t="s">
        <v>332</v>
      </c>
      <c r="G81" s="70" t="s">
        <v>301</v>
      </c>
      <c r="H81" s="71" t="s">
        <v>302</v>
      </c>
      <c r="I81" s="71" t="s">
        <v>303</v>
      </c>
    </row>
    <row r="82" spans="1:9" x14ac:dyDescent="0.25">
      <c r="A82" s="70">
        <v>81</v>
      </c>
      <c r="B82" s="67" t="s">
        <v>57</v>
      </c>
      <c r="C82" s="67" t="s">
        <v>330</v>
      </c>
      <c r="D82" s="67" t="s">
        <v>331</v>
      </c>
      <c r="E82" s="71">
        <v>5678310</v>
      </c>
      <c r="F82" s="71" t="s">
        <v>332</v>
      </c>
      <c r="G82" s="70" t="s">
        <v>301</v>
      </c>
      <c r="H82" s="71" t="s">
        <v>302</v>
      </c>
      <c r="I82" s="71" t="s">
        <v>303</v>
      </c>
    </row>
    <row r="83" spans="1:9" x14ac:dyDescent="0.25">
      <c r="A83" s="70">
        <v>82</v>
      </c>
      <c r="B83" s="67" t="s">
        <v>57</v>
      </c>
      <c r="C83" s="67" t="s">
        <v>330</v>
      </c>
      <c r="D83" s="67" t="s">
        <v>331</v>
      </c>
      <c r="E83" s="71">
        <v>5678310</v>
      </c>
      <c r="F83" s="71" t="s">
        <v>332</v>
      </c>
      <c r="G83" s="70" t="s">
        <v>301</v>
      </c>
      <c r="H83" s="71" t="s">
        <v>302</v>
      </c>
      <c r="I83" s="71" t="s">
        <v>303</v>
      </c>
    </row>
    <row r="84" spans="1:9" x14ac:dyDescent="0.25">
      <c r="A84" s="70">
        <v>83</v>
      </c>
      <c r="B84" s="67" t="s">
        <v>57</v>
      </c>
      <c r="C84" s="67" t="s">
        <v>330</v>
      </c>
      <c r="D84" s="67" t="s">
        <v>331</v>
      </c>
      <c r="E84" s="71">
        <v>5678310</v>
      </c>
      <c r="F84" s="71" t="s">
        <v>332</v>
      </c>
      <c r="G84" s="70" t="s">
        <v>301</v>
      </c>
      <c r="H84" s="71" t="s">
        <v>302</v>
      </c>
      <c r="I84" s="71" t="s">
        <v>303</v>
      </c>
    </row>
    <row r="85" spans="1:9" x14ac:dyDescent="0.25">
      <c r="A85" s="70">
        <v>84</v>
      </c>
      <c r="B85" s="67" t="s">
        <v>57</v>
      </c>
      <c r="C85" s="67" t="s">
        <v>330</v>
      </c>
      <c r="D85" s="67" t="s">
        <v>331</v>
      </c>
      <c r="E85" s="71">
        <v>5678310</v>
      </c>
      <c r="F85" s="71" t="s">
        <v>332</v>
      </c>
      <c r="G85" s="70" t="s">
        <v>301</v>
      </c>
      <c r="H85" s="71" t="s">
        <v>302</v>
      </c>
      <c r="I85" s="71" t="s">
        <v>303</v>
      </c>
    </row>
    <row r="86" spans="1:9" x14ac:dyDescent="0.25">
      <c r="A86" s="70">
        <v>85</v>
      </c>
      <c r="B86" s="67" t="s">
        <v>57</v>
      </c>
      <c r="C86" s="67" t="s">
        <v>330</v>
      </c>
      <c r="D86" s="67" t="s">
        <v>331</v>
      </c>
      <c r="E86" s="71">
        <v>5678310</v>
      </c>
      <c r="F86" s="71" t="s">
        <v>332</v>
      </c>
      <c r="G86" s="70" t="s">
        <v>301</v>
      </c>
      <c r="H86" s="71" t="s">
        <v>302</v>
      </c>
      <c r="I86" s="71" t="s">
        <v>303</v>
      </c>
    </row>
    <row r="87" spans="1:9" x14ac:dyDescent="0.25">
      <c r="A87" s="70">
        <v>86</v>
      </c>
      <c r="B87" s="67" t="s">
        <v>57</v>
      </c>
      <c r="C87" s="67" t="s">
        <v>330</v>
      </c>
      <c r="D87" s="67" t="s">
        <v>331</v>
      </c>
      <c r="E87" s="71">
        <v>5678310</v>
      </c>
      <c r="F87" s="71" t="s">
        <v>332</v>
      </c>
      <c r="G87" s="70" t="s">
        <v>301</v>
      </c>
      <c r="H87" s="71" t="s">
        <v>302</v>
      </c>
      <c r="I87" s="71" t="s">
        <v>303</v>
      </c>
    </row>
    <row r="88" spans="1:9" x14ac:dyDescent="0.25">
      <c r="A88" s="70">
        <v>87</v>
      </c>
      <c r="B88" s="67" t="s">
        <v>57</v>
      </c>
      <c r="C88" s="67" t="s">
        <v>330</v>
      </c>
      <c r="D88" s="67" t="s">
        <v>331</v>
      </c>
      <c r="E88" s="71">
        <v>5678312</v>
      </c>
      <c r="F88" s="71" t="s">
        <v>332</v>
      </c>
      <c r="G88" s="70" t="s">
        <v>301</v>
      </c>
      <c r="H88" s="71" t="s">
        <v>302</v>
      </c>
      <c r="I88" s="71" t="s">
        <v>303</v>
      </c>
    </row>
    <row r="89" spans="1:9" x14ac:dyDescent="0.25">
      <c r="A89" s="70">
        <v>89</v>
      </c>
      <c r="B89" s="67" t="s">
        <v>330</v>
      </c>
      <c r="C89" s="67" t="s">
        <v>57</v>
      </c>
      <c r="D89" s="67" t="s">
        <v>331</v>
      </c>
      <c r="E89" s="72">
        <v>494012972</v>
      </c>
      <c r="F89" s="67" t="s">
        <v>332</v>
      </c>
      <c r="G89" s="70" t="s">
        <v>301</v>
      </c>
      <c r="H89" s="67" t="s">
        <v>302</v>
      </c>
      <c r="I89" s="71">
        <v>7061000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E639-DD86-49C0-899E-6E60D52F1FA9}">
  <dimension ref="C3:GO120"/>
  <sheetViews>
    <sheetView zoomScale="85" zoomScaleNormal="85" workbookViewId="0">
      <selection activeCell="GJ23" sqref="GJ23"/>
    </sheetView>
  </sheetViews>
  <sheetFormatPr defaultRowHeight="15" x14ac:dyDescent="0.25"/>
  <cols>
    <col min="1" max="1" width="4" style="23" customWidth="1"/>
    <col min="2" max="2" width="3.7109375" style="23" customWidth="1"/>
    <col min="3" max="3" width="11.42578125" style="23" customWidth="1"/>
    <col min="4" max="4" width="2.28515625" style="23" customWidth="1"/>
    <col min="5" max="5" width="3.5703125" style="23" customWidth="1"/>
    <col min="6" max="6" width="23.42578125" style="23" customWidth="1"/>
    <col min="7" max="7" width="3.85546875" style="23" customWidth="1"/>
    <col min="8" max="8" width="2.5703125" style="23" customWidth="1"/>
    <col min="9" max="9" width="2.7109375" style="23" customWidth="1"/>
    <col min="10" max="10" width="23.42578125" style="23" customWidth="1"/>
    <col min="11" max="11" width="4.140625" style="23" customWidth="1"/>
    <col min="12" max="12" width="2" style="23" customWidth="1"/>
    <col min="13" max="13" width="3.140625" style="23" customWidth="1"/>
    <col min="14" max="14" width="23.42578125" style="23" customWidth="1"/>
    <col min="15" max="15" width="3.42578125" style="23" customWidth="1"/>
    <col min="16" max="16" width="2.42578125" style="23" customWidth="1"/>
    <col min="17" max="17" width="2.5703125" style="23" customWidth="1"/>
    <col min="18" max="18" width="23.42578125" style="23" customWidth="1"/>
    <col min="19" max="19" width="2.5703125" style="23" customWidth="1"/>
    <col min="20" max="20" width="3.85546875" style="23" customWidth="1"/>
    <col min="21" max="21" width="2.85546875" style="23" customWidth="1"/>
    <col min="22" max="22" width="9.140625" style="23"/>
    <col min="23" max="23" width="4.28515625" style="23" customWidth="1"/>
    <col min="24" max="24" width="9.140625" style="23"/>
    <col min="25" max="25" width="3.7109375" style="23" customWidth="1"/>
    <col min="26" max="26" width="8.5703125" style="23" customWidth="1"/>
    <col min="27" max="27" width="41" style="23" customWidth="1"/>
    <col min="28" max="28" width="36" style="23" customWidth="1"/>
    <col min="29" max="29" width="23.28515625" style="23" customWidth="1"/>
    <col min="30" max="31" width="11" style="23" customWidth="1"/>
    <col min="32" max="32" width="25.140625" style="23" customWidth="1"/>
    <col min="33" max="33" width="9.42578125" style="23" customWidth="1"/>
    <col min="34" max="38" width="9.140625" style="23"/>
    <col min="39" max="39" width="3.7109375" style="499" customWidth="1"/>
    <col min="40" max="40" width="9.140625" style="23"/>
    <col min="41" max="41" width="4" style="23" customWidth="1"/>
    <col min="42" max="42" width="3.7109375" style="23" customWidth="1"/>
    <col min="43" max="43" width="11.42578125" style="23" customWidth="1"/>
    <col min="44" max="44" width="2.28515625" style="23" customWidth="1"/>
    <col min="45" max="45" width="3.5703125" style="23" customWidth="1"/>
    <col min="46" max="46" width="23.42578125" style="23" customWidth="1"/>
    <col min="47" max="47" width="3.85546875" style="23" customWidth="1"/>
    <col min="48" max="48" width="2.5703125" style="23" customWidth="1"/>
    <col min="49" max="49" width="2.7109375" style="23" customWidth="1"/>
    <col min="50" max="50" width="23.42578125" style="23" customWidth="1"/>
    <col min="51" max="51" width="4.140625" style="23" customWidth="1"/>
    <col min="52" max="52" width="2" style="23" customWidth="1"/>
    <col min="53" max="53" width="3.140625" style="23" customWidth="1"/>
    <col min="54" max="54" width="23.42578125" style="23" customWidth="1"/>
    <col min="55" max="55" width="3.42578125" style="23" customWidth="1"/>
    <col min="56" max="56" width="2.42578125" style="23" customWidth="1"/>
    <col min="57" max="57" width="2.5703125" style="23" customWidth="1"/>
    <col min="58" max="58" width="23.42578125" style="23" customWidth="1"/>
    <col min="59" max="59" width="2.5703125" style="23" customWidth="1"/>
    <col min="60" max="60" width="3.85546875" style="23" customWidth="1"/>
    <col min="61" max="61" width="2.85546875" style="23" customWidth="1"/>
    <col min="62" max="62" width="9.140625" style="23"/>
    <col min="63" max="63" width="4.28515625" style="23" customWidth="1"/>
    <col min="64" max="64" width="9.140625" style="23"/>
    <col min="65" max="65" width="3.7109375" style="23" customWidth="1"/>
    <col min="66" max="66" width="8.5703125" style="23" customWidth="1"/>
    <col min="67" max="67" width="41" style="23" customWidth="1"/>
    <col min="68" max="68" width="36" style="23" customWidth="1"/>
    <col min="69" max="69" width="23.28515625" style="23" customWidth="1"/>
    <col min="70" max="71" width="11" style="23" customWidth="1"/>
    <col min="72" max="72" width="25.140625" style="23" customWidth="1"/>
    <col min="73" max="73" width="9.42578125" style="23" customWidth="1"/>
    <col min="74" max="78" width="9.140625" style="23"/>
    <col min="79" max="79" width="3.7109375" style="499" customWidth="1"/>
    <col min="80" max="80" width="9.140625" style="23"/>
    <col min="81" max="81" width="4" style="23" customWidth="1"/>
    <col min="82" max="82" width="3.7109375" style="23" customWidth="1"/>
    <col min="83" max="83" width="11.42578125" style="23" customWidth="1"/>
    <col min="84" max="84" width="2.28515625" style="23" customWidth="1"/>
    <col min="85" max="85" width="3.5703125" style="23" customWidth="1"/>
    <col min="86" max="86" width="23.42578125" style="23" customWidth="1"/>
    <col min="87" max="87" width="3.85546875" style="23" customWidth="1"/>
    <col min="88" max="88" width="2.5703125" style="23" customWidth="1"/>
    <col min="89" max="89" width="2.7109375" style="23" customWidth="1"/>
    <col min="90" max="90" width="23.42578125" style="23" customWidth="1"/>
    <col min="91" max="91" width="4.140625" style="23" customWidth="1"/>
    <col min="92" max="92" width="2" style="23" customWidth="1"/>
    <col min="93" max="93" width="3.140625" style="23" customWidth="1"/>
    <col min="94" max="94" width="23.42578125" style="23" customWidth="1"/>
    <col min="95" max="95" width="3.42578125" style="23" customWidth="1"/>
    <col min="96" max="96" width="2.42578125" style="23" customWidth="1"/>
    <col min="97" max="97" width="2.5703125" style="23" customWidth="1"/>
    <col min="98" max="98" width="23.42578125" style="23" customWidth="1"/>
    <col min="99" max="99" width="2.5703125" style="23" customWidth="1"/>
    <col min="100" max="100" width="3.85546875" style="23" customWidth="1"/>
    <col min="101" max="101" width="2.85546875" style="23" customWidth="1"/>
    <col min="102" max="102" width="9.140625" style="23"/>
    <col min="103" max="103" width="4.28515625" style="23" customWidth="1"/>
    <col min="104" max="104" width="9.140625" style="23"/>
    <col min="105" max="105" width="3.7109375" style="23" customWidth="1"/>
    <col min="106" max="106" width="8.5703125" style="23" customWidth="1"/>
    <col min="107" max="107" width="41" style="23" customWidth="1"/>
    <col min="108" max="108" width="36" style="23" customWidth="1"/>
    <col min="109" max="109" width="23.28515625" style="23" customWidth="1"/>
    <col min="110" max="111" width="11" style="23" customWidth="1"/>
    <col min="112" max="112" width="25.140625" style="23" customWidth="1"/>
    <col min="113" max="113" width="9.42578125" style="23" customWidth="1"/>
    <col min="114" max="118" width="9.140625" style="23"/>
    <col min="119" max="119" width="3.7109375" style="499" customWidth="1"/>
    <col min="120" max="120" width="9.140625" style="23"/>
    <col min="121" max="121" width="4" style="23" customWidth="1"/>
    <col min="122" max="122" width="3.7109375" style="23" customWidth="1"/>
    <col min="123" max="123" width="11.42578125" style="23" customWidth="1"/>
    <col min="124" max="124" width="2.28515625" style="23" customWidth="1"/>
    <col min="125" max="125" width="3.5703125" style="23" customWidth="1"/>
    <col min="126" max="126" width="23.42578125" style="23" customWidth="1"/>
    <col min="127" max="127" width="3.85546875" style="23" customWidth="1"/>
    <col min="128" max="128" width="2.5703125" style="23" customWidth="1"/>
    <col min="129" max="129" width="2.7109375" style="23" customWidth="1"/>
    <col min="130" max="130" width="23.42578125" style="23" customWidth="1"/>
    <col min="131" max="131" width="4.140625" style="23" customWidth="1"/>
    <col min="132" max="132" width="2" style="23" customWidth="1"/>
    <col min="133" max="133" width="3.140625" style="23" customWidth="1"/>
    <col min="134" max="134" width="23.42578125" style="23" customWidth="1"/>
    <col min="135" max="135" width="3.42578125" style="23" customWidth="1"/>
    <col min="136" max="136" width="2.42578125" style="23" customWidth="1"/>
    <col min="137" max="137" width="2.5703125" style="23" customWidth="1"/>
    <col min="138" max="138" width="23.42578125" style="23" customWidth="1"/>
    <col min="139" max="139" width="2.5703125" style="23" customWidth="1"/>
    <col min="140" max="140" width="3.85546875" style="23" customWidth="1"/>
    <col min="141" max="141" width="2.85546875" style="23" customWidth="1"/>
    <col min="142" max="142" width="9.140625" style="23"/>
    <col min="143" max="143" width="4.28515625" style="23" customWidth="1"/>
    <col min="144" max="144" width="9.140625" style="23"/>
    <col min="145" max="145" width="3.7109375" style="23" customWidth="1"/>
    <col min="146" max="146" width="8.5703125" style="23" customWidth="1"/>
    <col min="147" max="147" width="41" style="23" customWidth="1"/>
    <col min="148" max="148" width="36" style="23" customWidth="1"/>
    <col min="149" max="149" width="23.28515625" style="23" customWidth="1"/>
    <col min="150" max="151" width="11" style="23" customWidth="1"/>
    <col min="152" max="152" width="25.140625" style="23" customWidth="1"/>
    <col min="153" max="153" width="9.42578125" style="23" customWidth="1"/>
    <col min="154" max="158" width="9.140625" style="23"/>
    <col min="159" max="159" width="3.7109375" style="499" customWidth="1"/>
    <col min="160" max="160" width="9.140625" style="23"/>
    <col min="161" max="161" width="4" style="23" customWidth="1"/>
    <col min="162" max="162" width="3.7109375" style="23" customWidth="1"/>
    <col min="163" max="163" width="11.42578125" style="23" customWidth="1"/>
    <col min="164" max="164" width="2.28515625" style="23" customWidth="1"/>
    <col min="165" max="165" width="3.5703125" style="23" customWidth="1"/>
    <col min="166" max="166" width="23.42578125" style="23" customWidth="1"/>
    <col min="167" max="167" width="3.85546875" style="23" customWidth="1"/>
    <col min="168" max="168" width="2.5703125" style="23" customWidth="1"/>
    <col min="169" max="169" width="2.7109375" style="23" customWidth="1"/>
    <col min="170" max="170" width="23.42578125" style="23" customWidth="1"/>
    <col min="171" max="171" width="4.140625" style="23" customWidth="1"/>
    <col min="172" max="172" width="2" style="23" customWidth="1"/>
    <col min="173" max="173" width="3.140625" style="23" customWidth="1"/>
    <col min="174" max="174" width="23.42578125" style="23" customWidth="1"/>
    <col min="175" max="175" width="3.42578125" style="23" customWidth="1"/>
    <col min="176" max="176" width="2.42578125" style="23" customWidth="1"/>
    <col min="177" max="177" width="2.5703125" style="23" customWidth="1"/>
    <col min="178" max="178" width="23.42578125" style="23" customWidth="1"/>
    <col min="179" max="179" width="2.5703125" style="23" customWidth="1"/>
    <col min="180" max="180" width="3.85546875" style="23" customWidth="1"/>
    <col min="181" max="181" width="2.85546875" style="23" customWidth="1"/>
    <col min="182" max="182" width="9.140625" style="23"/>
    <col min="183" max="183" width="4.28515625" style="23" customWidth="1"/>
    <col min="184" max="184" width="9.140625" style="23"/>
    <col min="185" max="185" width="3.7109375" style="23" customWidth="1"/>
    <col min="186" max="186" width="8.5703125" style="23" customWidth="1"/>
    <col min="187" max="187" width="41" style="23" customWidth="1"/>
    <col min="188" max="188" width="36" style="23" customWidth="1"/>
    <col min="189" max="189" width="23.28515625" style="23" customWidth="1"/>
    <col min="190" max="191" width="11" style="23" customWidth="1"/>
    <col min="192" max="192" width="25.140625" style="23" customWidth="1"/>
    <col min="193" max="193" width="9.42578125" style="23" customWidth="1"/>
    <col min="194" max="16384" width="9.140625" style="23"/>
  </cols>
  <sheetData>
    <row r="3" spans="3:197" x14ac:dyDescent="0.25">
      <c r="C3" s="23" t="s">
        <v>357</v>
      </c>
    </row>
    <row r="5" spans="3:197" ht="24.75" customHeight="1" x14ac:dyDescent="0.25">
      <c r="C5" s="257"/>
      <c r="D5" s="258"/>
      <c r="E5" s="258"/>
      <c r="F5" s="257"/>
      <c r="G5" s="258"/>
      <c r="H5" s="259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W5" s="257"/>
      <c r="X5" s="258"/>
      <c r="Y5" s="257"/>
      <c r="Z5" s="258"/>
      <c r="AA5" s="259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Q5" s="257"/>
      <c r="AR5" s="258"/>
      <c r="AS5" s="258"/>
      <c r="AT5" s="257"/>
      <c r="AU5" s="258"/>
      <c r="AV5" s="259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K5" s="257"/>
      <c r="BL5" s="258"/>
      <c r="BM5" s="257"/>
      <c r="BN5" s="258"/>
      <c r="BO5" s="259"/>
      <c r="BP5" s="257"/>
      <c r="BQ5" s="257"/>
      <c r="BR5" s="257"/>
      <c r="BS5" s="257"/>
      <c r="BT5" s="257"/>
      <c r="BU5" s="257"/>
      <c r="BV5" s="257"/>
      <c r="BW5" s="257"/>
      <c r="BX5" s="257"/>
      <c r="BY5" s="257"/>
      <c r="CE5" s="257"/>
      <c r="CF5" s="258"/>
      <c r="CG5" s="258"/>
      <c r="CH5" s="257"/>
      <c r="CI5" s="258"/>
      <c r="CJ5" s="259"/>
      <c r="CK5" s="257"/>
      <c r="CL5" s="257"/>
      <c r="CM5" s="257"/>
      <c r="CN5" s="257"/>
      <c r="CO5" s="257"/>
      <c r="CP5" s="257"/>
      <c r="CQ5" s="257"/>
      <c r="CR5" s="257"/>
      <c r="CS5" s="257"/>
      <c r="CT5" s="257"/>
      <c r="CU5" s="257"/>
      <c r="CV5" s="257"/>
      <c r="CW5" s="257"/>
      <c r="CY5" s="257"/>
      <c r="CZ5" s="258"/>
      <c r="DA5" s="257"/>
      <c r="DB5" s="258"/>
      <c r="DC5" s="259"/>
      <c r="DD5" s="257"/>
      <c r="DE5" s="257"/>
      <c r="DF5" s="257"/>
      <c r="DG5" s="257"/>
      <c r="DH5" s="257"/>
      <c r="DI5" s="257"/>
      <c r="DJ5" s="257"/>
      <c r="DK5" s="257"/>
      <c r="DL5" s="257"/>
      <c r="DM5" s="257"/>
      <c r="DS5" s="257"/>
      <c r="DT5" s="258"/>
      <c r="DU5" s="258"/>
      <c r="DV5" s="257"/>
      <c r="DW5" s="258"/>
      <c r="DX5" s="259"/>
      <c r="DY5" s="257"/>
      <c r="DZ5" s="257"/>
      <c r="EA5" s="257"/>
      <c r="EB5" s="257"/>
      <c r="EC5" s="257"/>
      <c r="ED5" s="257"/>
      <c r="EE5" s="257"/>
      <c r="EF5" s="257"/>
      <c r="EG5" s="257"/>
      <c r="EH5" s="257"/>
      <c r="EI5" s="257"/>
      <c r="EJ5" s="257"/>
      <c r="EK5" s="257"/>
      <c r="EM5" s="257"/>
      <c r="EN5" s="258"/>
      <c r="EO5" s="257"/>
      <c r="EP5" s="258"/>
      <c r="EQ5" s="259"/>
      <c r="ER5" s="257"/>
      <c r="ES5" s="257"/>
      <c r="ET5" s="257"/>
      <c r="EU5" s="257"/>
      <c r="EV5" s="257"/>
      <c r="EW5" s="257"/>
      <c r="EX5" s="257"/>
      <c r="EY5" s="257"/>
      <c r="EZ5" s="257"/>
      <c r="FA5" s="257"/>
      <c r="FG5" s="257"/>
      <c r="FH5" s="258"/>
      <c r="FI5" s="258"/>
      <c r="FJ5" s="257"/>
      <c r="FK5" s="258"/>
      <c r="FL5" s="259"/>
      <c r="FM5" s="257"/>
      <c r="FN5" s="257"/>
      <c r="FO5" s="257"/>
      <c r="FP5" s="257"/>
      <c r="FQ5" s="257"/>
      <c r="FR5" s="257"/>
      <c r="FS5" s="257"/>
      <c r="FT5" s="257"/>
      <c r="FU5" s="257"/>
      <c r="FV5" s="257"/>
      <c r="FW5" s="257"/>
      <c r="FX5" s="257"/>
      <c r="FY5" s="257"/>
      <c r="GA5" s="257"/>
      <c r="GB5" s="258"/>
      <c r="GC5" s="257"/>
      <c r="GD5" s="258"/>
      <c r="GE5" s="259"/>
      <c r="GF5" s="257"/>
      <c r="GG5" s="257"/>
      <c r="GH5" s="257"/>
      <c r="GI5" s="257"/>
      <c r="GJ5" s="257"/>
      <c r="GK5" s="257"/>
      <c r="GL5" s="257"/>
      <c r="GM5" s="257"/>
      <c r="GN5" s="257"/>
      <c r="GO5" s="257"/>
    </row>
    <row r="7" spans="3:197" x14ac:dyDescent="0.25">
      <c r="AL7" s="405"/>
      <c r="BZ7" s="405"/>
    </row>
    <row r="9" spans="3:197" ht="8.25" customHeight="1" x14ac:dyDescent="0.25">
      <c r="FG9" s="488"/>
      <c r="FH9" s="490"/>
      <c r="FI9" s="490"/>
      <c r="FJ9" s="490"/>
      <c r="FK9" s="490"/>
      <c r="FL9" s="490"/>
      <c r="FM9" s="490"/>
      <c r="FN9" s="490"/>
      <c r="FO9" s="490"/>
      <c r="FP9" s="490"/>
      <c r="FQ9" s="490"/>
      <c r="FR9" s="490"/>
      <c r="FS9" s="490"/>
      <c r="FT9" s="490"/>
      <c r="FU9" s="490"/>
      <c r="FV9" s="490"/>
      <c r="FW9" s="490"/>
      <c r="FX9" s="490"/>
      <c r="FY9" s="491"/>
    </row>
    <row r="10" spans="3:197" x14ac:dyDescent="0.25">
      <c r="C10" s="488"/>
      <c r="D10" s="490"/>
      <c r="E10" s="490"/>
      <c r="F10" s="490"/>
      <c r="G10" s="490"/>
      <c r="H10" s="490"/>
      <c r="I10" s="490"/>
      <c r="J10" s="490"/>
      <c r="K10" s="490"/>
      <c r="L10" s="490"/>
      <c r="M10" s="490"/>
      <c r="N10" s="490"/>
      <c r="O10" s="490"/>
      <c r="P10" s="490"/>
      <c r="Q10" s="490"/>
      <c r="R10" s="490"/>
      <c r="S10" s="490"/>
      <c r="T10" s="490"/>
      <c r="U10" s="491"/>
      <c r="W10" s="415"/>
      <c r="X10" s="416"/>
      <c r="Y10" s="416"/>
      <c r="Z10" s="416"/>
      <c r="AA10" s="416"/>
      <c r="AB10" s="416"/>
      <c r="AC10" s="416"/>
      <c r="AD10" s="416"/>
      <c r="AE10" s="416"/>
      <c r="AF10" s="416"/>
      <c r="AG10" s="416"/>
      <c r="AH10" s="416"/>
      <c r="AI10" s="416"/>
      <c r="AJ10" s="416"/>
      <c r="AK10" s="417"/>
      <c r="AQ10" s="488"/>
      <c r="AR10" s="490"/>
      <c r="AS10" s="490"/>
      <c r="AT10" s="490"/>
      <c r="AU10" s="490"/>
      <c r="AV10" s="490"/>
      <c r="AW10" s="490"/>
      <c r="AX10" s="490"/>
      <c r="AY10" s="490"/>
      <c r="AZ10" s="490"/>
      <c r="BA10" s="490"/>
      <c r="BB10" s="490"/>
      <c r="BC10" s="490"/>
      <c r="BD10" s="490"/>
      <c r="BE10" s="490"/>
      <c r="BF10" s="490"/>
      <c r="BG10" s="490"/>
      <c r="BH10" s="490"/>
      <c r="BI10" s="491"/>
      <c r="BK10" s="415"/>
      <c r="BL10" s="416"/>
      <c r="BM10" s="416"/>
      <c r="BN10" s="416"/>
      <c r="BO10" s="416"/>
      <c r="BP10" s="416"/>
      <c r="BQ10" s="416"/>
      <c r="BR10" s="416"/>
      <c r="BS10" s="416"/>
      <c r="BT10" s="416"/>
      <c r="BU10" s="416"/>
      <c r="BV10" s="416"/>
      <c r="BW10" s="416"/>
      <c r="BX10" s="416"/>
      <c r="BY10" s="417"/>
      <c r="CE10" s="488"/>
      <c r="CF10" s="490"/>
      <c r="CG10" s="490"/>
      <c r="CH10" s="490"/>
      <c r="CI10" s="490"/>
      <c r="CJ10" s="490"/>
      <c r="CK10" s="490"/>
      <c r="CL10" s="490"/>
      <c r="CM10" s="490"/>
      <c r="CN10" s="490"/>
      <c r="CO10" s="490"/>
      <c r="CP10" s="490"/>
      <c r="CQ10" s="490"/>
      <c r="CR10" s="490"/>
      <c r="CS10" s="490"/>
      <c r="CT10" s="490"/>
      <c r="CU10" s="490"/>
      <c r="CV10" s="490"/>
      <c r="CW10" s="491"/>
      <c r="CY10" s="415"/>
      <c r="CZ10" s="416"/>
      <c r="DA10" s="416"/>
      <c r="DB10" s="416"/>
      <c r="DC10" s="416"/>
      <c r="DD10" s="416"/>
      <c r="DE10" s="416"/>
      <c r="DF10" s="416"/>
      <c r="DG10" s="416"/>
      <c r="DH10" s="416"/>
      <c r="DI10" s="416"/>
      <c r="DJ10" s="416"/>
      <c r="DK10" s="416"/>
      <c r="DL10" s="416"/>
      <c r="DM10" s="417"/>
      <c r="DS10" s="488"/>
      <c r="DT10" s="490"/>
      <c r="DU10" s="490"/>
      <c r="DV10" s="490"/>
      <c r="DW10" s="490"/>
      <c r="DX10" s="490"/>
      <c r="DY10" s="490"/>
      <c r="DZ10" s="490"/>
      <c r="EA10" s="490"/>
      <c r="EB10" s="490"/>
      <c r="EC10" s="490"/>
      <c r="ED10" s="490"/>
      <c r="EE10" s="490"/>
      <c r="EF10" s="490"/>
      <c r="EG10" s="490"/>
      <c r="EH10" s="490"/>
      <c r="EI10" s="490"/>
      <c r="EJ10" s="490"/>
      <c r="EK10" s="491"/>
      <c r="EM10" s="415"/>
      <c r="EN10" s="416"/>
      <c r="EO10" s="416"/>
      <c r="EP10" s="416"/>
      <c r="EQ10" s="416"/>
      <c r="ER10" s="416"/>
      <c r="ES10" s="416"/>
      <c r="ET10" s="416"/>
      <c r="EU10" s="416"/>
      <c r="EV10" s="416"/>
      <c r="EW10" s="416"/>
      <c r="EX10" s="416"/>
      <c r="EY10" s="416"/>
      <c r="EZ10" s="416"/>
      <c r="FA10" s="417"/>
      <c r="FG10" s="492"/>
      <c r="FY10" s="493"/>
      <c r="GA10" s="415"/>
      <c r="GB10" s="416"/>
      <c r="GC10" s="416"/>
      <c r="GD10" s="416"/>
      <c r="GE10" s="416"/>
      <c r="GF10" s="416"/>
      <c r="GG10" s="416"/>
      <c r="GH10" s="416"/>
      <c r="GI10" s="416"/>
      <c r="GJ10" s="416"/>
      <c r="GK10" s="416"/>
      <c r="GL10" s="416"/>
      <c r="GM10" s="416"/>
      <c r="GN10" s="416"/>
      <c r="GO10" s="417"/>
    </row>
    <row r="11" spans="3:197" x14ac:dyDescent="0.25">
      <c r="C11" s="492"/>
      <c r="U11" s="493"/>
      <c r="W11" s="418"/>
      <c r="AK11" s="419"/>
      <c r="AQ11" s="492"/>
      <c r="BI11" s="493"/>
      <c r="BK11" s="418"/>
      <c r="BY11" s="419"/>
      <c r="CE11" s="492"/>
      <c r="CW11" s="493"/>
      <c r="CY11" s="418"/>
      <c r="DM11" s="419"/>
      <c r="DS11" s="492"/>
      <c r="EK11" s="493"/>
      <c r="EM11" s="418"/>
      <c r="FA11" s="419"/>
      <c r="FG11" s="492"/>
      <c r="FY11" s="493"/>
      <c r="GA11" s="418"/>
      <c r="GO11" s="419"/>
    </row>
    <row r="12" spans="3:197" x14ac:dyDescent="0.25">
      <c r="C12" s="492"/>
      <c r="U12" s="493"/>
      <c r="W12" s="418"/>
      <c r="AK12" s="419"/>
      <c r="AQ12" s="492"/>
      <c r="BI12" s="493"/>
      <c r="BK12" s="418"/>
      <c r="BY12" s="419"/>
      <c r="CE12" s="492"/>
      <c r="CW12" s="493"/>
      <c r="CY12" s="418"/>
      <c r="DM12" s="419"/>
      <c r="DS12" s="492"/>
      <c r="EK12" s="493"/>
      <c r="EM12" s="418"/>
      <c r="FA12" s="419"/>
      <c r="FG12" s="492"/>
      <c r="FY12" s="493"/>
      <c r="GA12" s="418"/>
      <c r="GO12" s="419"/>
    </row>
    <row r="13" spans="3:197" x14ac:dyDescent="0.25">
      <c r="C13" s="492"/>
      <c r="U13" s="493"/>
      <c r="W13" s="418"/>
      <c r="AK13" s="419"/>
      <c r="AQ13" s="492"/>
      <c r="BI13" s="493"/>
      <c r="BK13" s="418"/>
      <c r="BY13" s="419"/>
      <c r="CE13" s="492"/>
      <c r="CW13" s="493"/>
      <c r="CY13" s="418"/>
      <c r="DM13" s="419"/>
      <c r="DS13" s="492"/>
      <c r="EK13" s="493"/>
      <c r="EM13" s="418"/>
      <c r="FA13" s="419"/>
      <c r="FG13" s="492"/>
      <c r="FY13" s="493"/>
      <c r="GA13" s="418"/>
      <c r="GO13" s="419"/>
    </row>
    <row r="14" spans="3:197" ht="17.25" x14ac:dyDescent="0.3">
      <c r="C14" s="492"/>
      <c r="D14" s="257"/>
      <c r="E14" s="510" t="s">
        <v>358</v>
      </c>
      <c r="F14" s="430"/>
      <c r="G14" s="511"/>
      <c r="H14" s="512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493"/>
      <c r="W14" s="418"/>
      <c r="Y14" s="441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3"/>
      <c r="AK14" s="419"/>
      <c r="AQ14" s="492"/>
      <c r="AR14" s="257"/>
      <c r="AS14" s="510" t="s">
        <v>358</v>
      </c>
      <c r="AT14" s="430"/>
      <c r="AU14" s="511"/>
      <c r="AV14" s="512"/>
      <c r="AW14" s="257"/>
      <c r="AX14" s="257"/>
      <c r="AY14" s="257"/>
      <c r="AZ14" s="257"/>
      <c r="BA14" s="257"/>
      <c r="BB14" s="257"/>
      <c r="BC14" s="257"/>
      <c r="BD14" s="257"/>
      <c r="BE14" s="257"/>
      <c r="BF14" s="257"/>
      <c r="BG14" s="257"/>
      <c r="BH14" s="257"/>
      <c r="BI14" s="493"/>
      <c r="BK14" s="418"/>
      <c r="BM14" s="441"/>
      <c r="BN14" s="442"/>
      <c r="BO14" s="442"/>
      <c r="BP14" s="442"/>
      <c r="BQ14" s="442"/>
      <c r="BR14" s="442"/>
      <c r="BS14" s="442"/>
      <c r="BT14" s="442"/>
      <c r="BU14" s="442"/>
      <c r="BV14" s="442"/>
      <c r="BW14" s="442"/>
      <c r="BX14" s="443"/>
      <c r="BY14" s="419"/>
      <c r="CE14" s="492"/>
      <c r="CF14" s="257"/>
      <c r="CG14" s="510" t="s">
        <v>358</v>
      </c>
      <c r="CH14" s="430"/>
      <c r="CI14" s="511"/>
      <c r="CJ14" s="512"/>
      <c r="CK14" s="257"/>
      <c r="CL14" s="257"/>
      <c r="CM14" s="257"/>
      <c r="CN14" s="257"/>
      <c r="CO14" s="257"/>
      <c r="CP14" s="257"/>
      <c r="CQ14" s="257"/>
      <c r="CR14" s="257"/>
      <c r="CS14" s="257"/>
      <c r="CT14" s="257"/>
      <c r="CU14" s="257"/>
      <c r="CV14" s="257"/>
      <c r="CW14" s="493"/>
      <c r="CY14" s="418"/>
      <c r="DA14" s="441"/>
      <c r="DB14" s="442"/>
      <c r="DC14" s="442"/>
      <c r="DD14" s="442"/>
      <c r="DE14" s="442"/>
      <c r="DF14" s="442"/>
      <c r="DG14" s="442"/>
      <c r="DH14" s="442"/>
      <c r="DI14" s="442"/>
      <c r="DJ14" s="442"/>
      <c r="DK14" s="442"/>
      <c r="DL14" s="443"/>
      <c r="DM14" s="419"/>
      <c r="DS14" s="492"/>
      <c r="DT14" s="257"/>
      <c r="DU14" s="510" t="s">
        <v>358</v>
      </c>
      <c r="DV14" s="430"/>
      <c r="DW14" s="511"/>
      <c r="DX14" s="512"/>
      <c r="DY14" s="257"/>
      <c r="DZ14" s="257"/>
      <c r="EA14" s="257"/>
      <c r="EB14" s="257"/>
      <c r="EC14" s="257"/>
      <c r="ED14" s="257"/>
      <c r="EE14" s="257"/>
      <c r="EF14" s="257"/>
      <c r="EG14" s="257"/>
      <c r="EH14" s="257"/>
      <c r="EI14" s="257"/>
      <c r="EJ14" s="257"/>
      <c r="EK14" s="493"/>
      <c r="EM14" s="418"/>
      <c r="EO14" s="441"/>
      <c r="EP14" s="442"/>
      <c r="EQ14" s="442"/>
      <c r="ER14" s="442"/>
      <c r="ES14" s="442"/>
      <c r="ET14" s="442"/>
      <c r="EU14" s="442"/>
      <c r="EV14" s="442"/>
      <c r="EW14" s="442"/>
      <c r="EX14" s="442"/>
      <c r="EY14" s="442"/>
      <c r="EZ14" s="443"/>
      <c r="FA14" s="419"/>
      <c r="FG14" s="492"/>
      <c r="FH14" s="257"/>
      <c r="FI14" s="510" t="s">
        <v>358</v>
      </c>
      <c r="FJ14" s="430"/>
      <c r="FK14" s="511"/>
      <c r="FL14" s="512"/>
      <c r="FM14" s="257"/>
      <c r="FN14" s="257"/>
      <c r="FO14" s="257"/>
      <c r="FP14" s="257"/>
      <c r="FQ14" s="257"/>
      <c r="FR14" s="257"/>
      <c r="FS14" s="257"/>
      <c r="FT14" s="257"/>
      <c r="FU14" s="257"/>
      <c r="FV14" s="257"/>
      <c r="FW14" s="257"/>
      <c r="FX14" s="257"/>
      <c r="FY14" s="493"/>
      <c r="GA14" s="418"/>
      <c r="GC14" s="441"/>
      <c r="GD14" s="442"/>
      <c r="GE14" s="442"/>
      <c r="GF14" s="442"/>
      <c r="GG14" s="442"/>
      <c r="GH14" s="442"/>
      <c r="GI14" s="442"/>
      <c r="GJ14" s="442"/>
      <c r="GK14" s="442"/>
      <c r="GL14" s="442"/>
      <c r="GM14" s="442"/>
      <c r="GN14" s="443"/>
      <c r="GO14" s="419"/>
    </row>
    <row r="15" spans="3:197" ht="17.25" x14ac:dyDescent="0.3">
      <c r="C15" s="492"/>
      <c r="D15" s="441"/>
      <c r="E15" s="501" t="s">
        <v>358</v>
      </c>
      <c r="F15" s="502"/>
      <c r="G15" s="503"/>
      <c r="H15" s="504"/>
      <c r="I15" s="442"/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3"/>
      <c r="U15" s="493"/>
      <c r="W15" s="418"/>
      <c r="Y15" s="444"/>
      <c r="AJ15" s="445"/>
      <c r="AK15" s="419"/>
      <c r="AQ15" s="492"/>
      <c r="AR15" s="441"/>
      <c r="AS15" s="501" t="s">
        <v>358</v>
      </c>
      <c r="AT15" s="502"/>
      <c r="AU15" s="503"/>
      <c r="AV15" s="504"/>
      <c r="AW15" s="442"/>
      <c r="AX15" s="442"/>
      <c r="AY15" s="442"/>
      <c r="AZ15" s="442"/>
      <c r="BA15" s="442"/>
      <c r="BB15" s="442"/>
      <c r="BC15" s="442"/>
      <c r="BD15" s="442"/>
      <c r="BE15" s="442"/>
      <c r="BF15" s="442"/>
      <c r="BG15" s="442"/>
      <c r="BH15" s="443"/>
      <c r="BI15" s="493"/>
      <c r="BK15" s="418"/>
      <c r="BM15" s="444"/>
      <c r="BX15" s="445"/>
      <c r="BY15" s="419"/>
      <c r="CE15" s="492"/>
      <c r="CF15" s="441"/>
      <c r="CG15" s="501" t="s">
        <v>358</v>
      </c>
      <c r="CH15" s="502"/>
      <c r="CI15" s="503"/>
      <c r="CJ15" s="504"/>
      <c r="CK15" s="442"/>
      <c r="CL15" s="442"/>
      <c r="CM15" s="442"/>
      <c r="CN15" s="442"/>
      <c r="CO15" s="442"/>
      <c r="CP15" s="442"/>
      <c r="CQ15" s="442"/>
      <c r="CR15" s="442"/>
      <c r="CS15" s="442"/>
      <c r="CT15" s="442"/>
      <c r="CU15" s="442"/>
      <c r="CV15" s="443"/>
      <c r="CW15" s="493"/>
      <c r="CY15" s="418"/>
      <c r="DA15" s="444"/>
      <c r="DL15" s="445"/>
      <c r="DM15" s="419"/>
      <c r="DS15" s="492"/>
      <c r="DT15" s="441"/>
      <c r="DU15" s="501" t="s">
        <v>358</v>
      </c>
      <c r="DV15" s="502"/>
      <c r="DW15" s="503"/>
      <c r="DX15" s="504"/>
      <c r="DY15" s="442"/>
      <c r="DZ15" s="442"/>
      <c r="EA15" s="442"/>
      <c r="EB15" s="442"/>
      <c r="EC15" s="442"/>
      <c r="ED15" s="442"/>
      <c r="EE15" s="442"/>
      <c r="EF15" s="442"/>
      <c r="EG15" s="442"/>
      <c r="EH15" s="442"/>
      <c r="EI15" s="442"/>
      <c r="EJ15" s="443"/>
      <c r="EK15" s="493"/>
      <c r="EM15" s="418"/>
      <c r="EO15" s="444"/>
      <c r="EZ15" s="445"/>
      <c r="FA15" s="419"/>
      <c r="FG15" s="492"/>
      <c r="FH15" s="441"/>
      <c r="FI15" s="501" t="s">
        <v>358</v>
      </c>
      <c r="FJ15" s="502"/>
      <c r="FK15" s="503"/>
      <c r="FL15" s="504"/>
      <c r="FM15" s="442"/>
      <c r="FN15" s="442"/>
      <c r="FO15" s="442"/>
      <c r="FP15" s="442"/>
      <c r="FQ15" s="442"/>
      <c r="FR15" s="442"/>
      <c r="FS15" s="442"/>
      <c r="FT15" s="442"/>
      <c r="FU15" s="442"/>
      <c r="FV15" s="442"/>
      <c r="FW15" s="442"/>
      <c r="FX15" s="443"/>
      <c r="FY15" s="493"/>
      <c r="GA15" s="418"/>
      <c r="GC15" s="444"/>
      <c r="GN15" s="445"/>
      <c r="GO15" s="419"/>
    </row>
    <row r="16" spans="3:197" ht="17.25" x14ac:dyDescent="0.3">
      <c r="C16" s="492"/>
      <c r="D16" s="444"/>
      <c r="E16" s="23" t="s">
        <v>359</v>
      </c>
      <c r="F16" s="505"/>
      <c r="J16" s="505"/>
      <c r="N16" s="505"/>
      <c r="R16" s="505"/>
      <c r="T16" s="445"/>
      <c r="U16" s="493"/>
      <c r="W16" s="418"/>
      <c r="Y16" s="444"/>
      <c r="Z16" s="636" t="s">
        <v>360</v>
      </c>
      <c r="AA16" s="637"/>
      <c r="AJ16" s="445"/>
      <c r="AK16" s="419"/>
      <c r="AQ16" s="492"/>
      <c r="AR16" s="444"/>
      <c r="AS16" s="23" t="s">
        <v>359</v>
      </c>
      <c r="AT16" s="505"/>
      <c r="AX16" s="505"/>
      <c r="BB16" s="505"/>
      <c r="BF16" s="505"/>
      <c r="BH16" s="445"/>
      <c r="BI16" s="493"/>
      <c r="BK16" s="418"/>
      <c r="BM16" s="444"/>
      <c r="BN16" s="636" t="s">
        <v>360</v>
      </c>
      <c r="BO16" s="637"/>
      <c r="BX16" s="445"/>
      <c r="BY16" s="419"/>
      <c r="CE16" s="492"/>
      <c r="CF16" s="444"/>
      <c r="CG16" s="23" t="s">
        <v>359</v>
      </c>
      <c r="CH16" s="505"/>
      <c r="CL16" s="505"/>
      <c r="CP16" s="505"/>
      <c r="CT16" s="505"/>
      <c r="CV16" s="445"/>
      <c r="CW16" s="493"/>
      <c r="CY16" s="418"/>
      <c r="DA16" s="444"/>
      <c r="DB16" s="636" t="s">
        <v>360</v>
      </c>
      <c r="DC16" s="637"/>
      <c r="DL16" s="445"/>
      <c r="DM16" s="419"/>
      <c r="DS16" s="492"/>
      <c r="DT16" s="444"/>
      <c r="DU16" s="23" t="s">
        <v>359</v>
      </c>
      <c r="DV16" s="505"/>
      <c r="DZ16" s="505"/>
      <c r="ED16" s="505"/>
      <c r="EH16" s="505"/>
      <c r="EJ16" s="445"/>
      <c r="EK16" s="493"/>
      <c r="EM16" s="418"/>
      <c r="EO16" s="444"/>
      <c r="EP16" s="636" t="s">
        <v>360</v>
      </c>
      <c r="EQ16" s="637"/>
      <c r="EZ16" s="445"/>
      <c r="FA16" s="419"/>
      <c r="FG16" s="492"/>
      <c r="FH16" s="444"/>
      <c r="FI16" s="23" t="s">
        <v>359</v>
      </c>
      <c r="FJ16" s="505"/>
      <c r="FN16" s="505"/>
      <c r="FR16" s="505"/>
      <c r="FV16" s="505"/>
      <c r="FX16" s="445"/>
      <c r="FY16" s="493"/>
      <c r="GA16" s="418"/>
      <c r="GC16" s="444"/>
      <c r="GD16" s="636" t="s">
        <v>360</v>
      </c>
      <c r="GE16" s="637"/>
      <c r="GN16" s="445"/>
      <c r="GO16" s="419"/>
    </row>
    <row r="17" spans="3:197" ht="15" customHeight="1" x14ac:dyDescent="0.25">
      <c r="C17" s="492"/>
      <c r="D17" s="444"/>
      <c r="F17" s="423" t="s">
        <v>361</v>
      </c>
      <c r="J17" s="505"/>
      <c r="K17" s="506"/>
      <c r="N17" s="505"/>
      <c r="R17" s="505"/>
      <c r="T17" s="445"/>
      <c r="U17" s="493"/>
      <c r="W17" s="418"/>
      <c r="Y17" s="444"/>
      <c r="Z17" s="270" t="s">
        <v>362</v>
      </c>
      <c r="AA17" s="450" t="s">
        <v>363</v>
      </c>
      <c r="AJ17" s="445"/>
      <c r="AK17" s="419"/>
      <c r="AQ17" s="492"/>
      <c r="AR17" s="444"/>
      <c r="AT17" s="423" t="s">
        <v>361</v>
      </c>
      <c r="AX17" s="505"/>
      <c r="AY17" s="506"/>
      <c r="BB17" s="505"/>
      <c r="BF17" s="505"/>
      <c r="BH17" s="445"/>
      <c r="BI17" s="493"/>
      <c r="BK17" s="418"/>
      <c r="BM17" s="444"/>
      <c r="BN17" s="270" t="s">
        <v>362</v>
      </c>
      <c r="BO17" s="450" t="s">
        <v>363</v>
      </c>
      <c r="BX17" s="445"/>
      <c r="BY17" s="419"/>
      <c r="CE17" s="492"/>
      <c r="CF17" s="444"/>
      <c r="CH17" s="423" t="s">
        <v>361</v>
      </c>
      <c r="CL17" s="505"/>
      <c r="CM17" s="506"/>
      <c r="CP17" s="505"/>
      <c r="CT17" s="505"/>
      <c r="CV17" s="445"/>
      <c r="CW17" s="493"/>
      <c r="CY17" s="418"/>
      <c r="DA17" s="444"/>
      <c r="DB17" s="270" t="s">
        <v>362</v>
      </c>
      <c r="DC17" s="450" t="s">
        <v>364</v>
      </c>
      <c r="DL17" s="445"/>
      <c r="DM17" s="419"/>
      <c r="DS17" s="492"/>
      <c r="DT17" s="444"/>
      <c r="DV17" s="423" t="s">
        <v>361</v>
      </c>
      <c r="DZ17" s="505"/>
      <c r="EA17" s="506"/>
      <c r="ED17" s="505"/>
      <c r="EH17" s="505"/>
      <c r="EJ17" s="445"/>
      <c r="EK17" s="493"/>
      <c r="EM17" s="418"/>
      <c r="EO17" s="444"/>
      <c r="EP17" s="270" t="s">
        <v>362</v>
      </c>
      <c r="EQ17" s="450" t="s">
        <v>364</v>
      </c>
      <c r="EZ17" s="445"/>
      <c r="FA17" s="419"/>
      <c r="FG17" s="492"/>
      <c r="FH17" s="444"/>
      <c r="FJ17" s="423" t="s">
        <v>361</v>
      </c>
      <c r="FN17" s="505"/>
      <c r="FO17" s="506"/>
      <c r="FR17" s="505"/>
      <c r="FV17" s="505"/>
      <c r="FX17" s="445"/>
      <c r="FY17" s="493"/>
      <c r="GA17" s="418"/>
      <c r="GC17" s="444"/>
      <c r="GD17" s="270" t="s">
        <v>362</v>
      </c>
      <c r="GE17" s="450" t="s">
        <v>364</v>
      </c>
      <c r="GN17" s="445"/>
      <c r="GO17" s="419"/>
    </row>
    <row r="18" spans="3:197" x14ac:dyDescent="0.25">
      <c r="C18" s="492"/>
      <c r="D18" s="444"/>
      <c r="F18" s="507" t="s">
        <v>365</v>
      </c>
      <c r="J18" s="505"/>
      <c r="N18" s="505"/>
      <c r="R18" s="505"/>
      <c r="T18" s="445"/>
      <c r="U18" s="493"/>
      <c r="W18" s="418"/>
      <c r="Y18" s="444"/>
      <c r="Z18" s="274" t="s">
        <v>366</v>
      </c>
      <c r="AA18" s="451" t="s">
        <v>367</v>
      </c>
      <c r="AJ18" s="445"/>
      <c r="AK18" s="419"/>
      <c r="AQ18" s="492"/>
      <c r="AR18" s="444"/>
      <c r="AT18" s="507" t="s">
        <v>365</v>
      </c>
      <c r="AX18" s="505"/>
      <c r="BB18" s="505"/>
      <c r="BF18" s="505"/>
      <c r="BH18" s="445"/>
      <c r="BI18" s="493"/>
      <c r="BK18" s="418"/>
      <c r="BM18" s="444"/>
      <c r="BN18" s="274" t="s">
        <v>366</v>
      </c>
      <c r="BO18" s="451" t="s">
        <v>368</v>
      </c>
      <c r="BX18" s="445"/>
      <c r="BY18" s="419"/>
      <c r="CE18" s="492"/>
      <c r="CF18" s="444"/>
      <c r="CH18" s="507" t="s">
        <v>365</v>
      </c>
      <c r="CL18" s="505"/>
      <c r="CP18" s="505"/>
      <c r="CT18" s="505"/>
      <c r="CV18" s="445"/>
      <c r="CW18" s="493"/>
      <c r="CY18" s="418"/>
      <c r="DA18" s="444"/>
      <c r="DB18" s="274" t="s">
        <v>366</v>
      </c>
      <c r="DC18" s="451" t="s">
        <v>367</v>
      </c>
      <c r="DL18" s="445"/>
      <c r="DM18" s="419"/>
      <c r="DS18" s="492"/>
      <c r="DT18" s="444"/>
      <c r="DV18" s="507" t="s">
        <v>365</v>
      </c>
      <c r="DZ18" s="505"/>
      <c r="ED18" s="505"/>
      <c r="EH18" s="505"/>
      <c r="EJ18" s="445"/>
      <c r="EK18" s="493"/>
      <c r="EM18" s="418"/>
      <c r="EO18" s="444"/>
      <c r="EP18" s="274" t="s">
        <v>366</v>
      </c>
      <c r="EQ18" s="451" t="s">
        <v>368</v>
      </c>
      <c r="EZ18" s="445"/>
      <c r="FA18" s="419"/>
      <c r="FG18" s="492"/>
      <c r="FH18" s="444"/>
      <c r="FJ18" s="507" t="s">
        <v>365</v>
      </c>
      <c r="FN18" s="505"/>
      <c r="FR18" s="505"/>
      <c r="FV18" s="505"/>
      <c r="FX18" s="445"/>
      <c r="FY18" s="493"/>
      <c r="GA18" s="418"/>
      <c r="GC18" s="444"/>
      <c r="GD18" s="274" t="s">
        <v>366</v>
      </c>
      <c r="GE18" s="451" t="s">
        <v>368</v>
      </c>
      <c r="GN18" s="445"/>
      <c r="GO18" s="419"/>
    </row>
    <row r="19" spans="3:197" x14ac:dyDescent="0.25">
      <c r="C19" s="492"/>
      <c r="D19" s="444"/>
      <c r="T19" s="445"/>
      <c r="U19" s="493"/>
      <c r="W19" s="418"/>
      <c r="Y19" s="444"/>
      <c r="Z19" s="276" t="s">
        <v>315</v>
      </c>
      <c r="AA19" s="452" t="s">
        <v>369</v>
      </c>
      <c r="AJ19" s="445"/>
      <c r="AK19" s="419"/>
      <c r="AQ19" s="492"/>
      <c r="AR19" s="444"/>
      <c r="BH19" s="445"/>
      <c r="BI19" s="493"/>
      <c r="BK19" s="418"/>
      <c r="BM19" s="444"/>
      <c r="BN19" s="276" t="s">
        <v>315</v>
      </c>
      <c r="BO19" s="452" t="s">
        <v>369</v>
      </c>
      <c r="BX19" s="445"/>
      <c r="BY19" s="419"/>
      <c r="CE19" s="492"/>
      <c r="CF19" s="444"/>
      <c r="CV19" s="445"/>
      <c r="CW19" s="493"/>
      <c r="CY19" s="418"/>
      <c r="DA19" s="444"/>
      <c r="DB19" s="276" t="s">
        <v>315</v>
      </c>
      <c r="DC19" s="452" t="s">
        <v>369</v>
      </c>
      <c r="DL19" s="445"/>
      <c r="DM19" s="419"/>
      <c r="DS19" s="492"/>
      <c r="DT19" s="444"/>
      <c r="EJ19" s="445"/>
      <c r="EK19" s="493"/>
      <c r="EM19" s="418"/>
      <c r="EO19" s="444"/>
      <c r="EP19" s="276" t="s">
        <v>315</v>
      </c>
      <c r="EQ19" s="452" t="s">
        <v>369</v>
      </c>
      <c r="EZ19" s="445"/>
      <c r="FA19" s="419"/>
      <c r="FG19" s="492"/>
      <c r="FH19" s="444"/>
      <c r="FX19" s="445"/>
      <c r="FY19" s="493"/>
      <c r="GA19" s="418"/>
      <c r="GC19" s="444"/>
      <c r="GD19" s="276" t="s">
        <v>315</v>
      </c>
      <c r="GE19" s="452" t="s">
        <v>369</v>
      </c>
      <c r="GN19" s="445"/>
      <c r="GO19" s="419"/>
    </row>
    <row r="20" spans="3:197" ht="13.5" customHeight="1" x14ac:dyDescent="0.25">
      <c r="C20" s="492"/>
      <c r="D20" s="444"/>
      <c r="T20" s="445"/>
      <c r="U20" s="493"/>
      <c r="W20" s="418"/>
      <c r="Y20" s="444"/>
      <c r="AJ20" s="445"/>
      <c r="AK20" s="419"/>
      <c r="AQ20" s="492"/>
      <c r="AR20" s="444"/>
      <c r="BH20" s="445"/>
      <c r="BI20" s="493"/>
      <c r="BK20" s="418"/>
      <c r="BM20" s="444"/>
      <c r="BX20" s="445"/>
      <c r="BY20" s="419"/>
      <c r="CE20" s="492"/>
      <c r="CF20" s="444"/>
      <c r="CV20" s="445"/>
      <c r="CW20" s="493"/>
      <c r="CY20" s="418"/>
      <c r="DA20" s="444"/>
      <c r="DL20" s="445"/>
      <c r="DM20" s="419"/>
      <c r="DS20" s="492"/>
      <c r="DT20" s="444"/>
      <c r="EJ20" s="445"/>
      <c r="EK20" s="493"/>
      <c r="EM20" s="418"/>
      <c r="EO20" s="444"/>
      <c r="EZ20" s="445"/>
      <c r="FA20" s="419"/>
      <c r="FG20" s="492"/>
      <c r="FH20" s="444"/>
      <c r="FX20" s="445"/>
      <c r="FY20" s="493"/>
      <c r="GA20" s="418"/>
      <c r="GC20" s="444"/>
      <c r="GN20" s="445"/>
      <c r="GO20" s="419"/>
    </row>
    <row r="21" spans="3:197" ht="19.5" customHeight="1" x14ac:dyDescent="0.25">
      <c r="C21" s="492"/>
      <c r="D21" s="444"/>
      <c r="E21" s="23" t="s">
        <v>370</v>
      </c>
      <c r="F21" s="505"/>
      <c r="J21" s="505"/>
      <c r="K21" s="507"/>
      <c r="L21" s="507"/>
      <c r="M21" s="507"/>
      <c r="N21" s="507"/>
      <c r="T21" s="445"/>
      <c r="U21" s="493"/>
      <c r="W21" s="418"/>
      <c r="Y21" s="444"/>
      <c r="AJ21" s="445"/>
      <c r="AK21" s="419"/>
      <c r="AQ21" s="492"/>
      <c r="AR21" s="444"/>
      <c r="AS21" s="23" t="s">
        <v>370</v>
      </c>
      <c r="AT21" s="505"/>
      <c r="AX21" s="505"/>
      <c r="AY21" s="507"/>
      <c r="AZ21" s="507"/>
      <c r="BA21" s="507"/>
      <c r="BB21" s="507"/>
      <c r="BH21" s="445"/>
      <c r="BI21" s="493"/>
      <c r="BK21" s="418"/>
      <c r="BM21" s="444"/>
      <c r="BX21" s="445"/>
      <c r="BY21" s="419"/>
      <c r="CE21" s="492"/>
      <c r="CF21" s="444"/>
      <c r="CG21" s="23" t="s">
        <v>370</v>
      </c>
      <c r="CH21" s="505"/>
      <c r="CL21" s="505"/>
      <c r="CM21" s="507"/>
      <c r="CN21" s="507"/>
      <c r="CO21" s="507"/>
      <c r="CP21" s="507"/>
      <c r="CV21" s="445"/>
      <c r="CW21" s="493"/>
      <c r="CY21" s="418"/>
      <c r="DA21" s="444"/>
      <c r="DL21" s="445"/>
      <c r="DM21" s="419"/>
      <c r="DS21" s="492"/>
      <c r="DT21" s="444"/>
      <c r="DU21" s="23" t="s">
        <v>370</v>
      </c>
      <c r="DV21" s="505"/>
      <c r="DZ21" s="505"/>
      <c r="EA21" s="507"/>
      <c r="EB21" s="507"/>
      <c r="EC21" s="507"/>
      <c r="ED21" s="507"/>
      <c r="EJ21" s="445"/>
      <c r="EK21" s="493"/>
      <c r="EM21" s="418"/>
      <c r="EO21" s="444"/>
      <c r="EZ21" s="445"/>
      <c r="FA21" s="419"/>
      <c r="FG21" s="492"/>
      <c r="FH21" s="444"/>
      <c r="FI21" s="23" t="s">
        <v>370</v>
      </c>
      <c r="FJ21" s="505"/>
      <c r="FN21" s="505"/>
      <c r="FO21" s="507"/>
      <c r="FP21" s="507"/>
      <c r="FQ21" s="507"/>
      <c r="FR21" s="507"/>
      <c r="FX21" s="445"/>
      <c r="FY21" s="493"/>
      <c r="GA21" s="418"/>
      <c r="GC21" s="444"/>
      <c r="GN21" s="445"/>
      <c r="GO21" s="419"/>
    </row>
    <row r="22" spans="3:197" ht="21.75" customHeight="1" x14ac:dyDescent="0.25">
      <c r="C22" s="492"/>
      <c r="D22" s="444"/>
      <c r="F22" s="423" t="s">
        <v>361</v>
      </c>
      <c r="J22" s="505"/>
      <c r="K22" s="507"/>
      <c r="L22" s="507"/>
      <c r="M22" s="507"/>
      <c r="N22" s="507"/>
      <c r="T22" s="445"/>
      <c r="U22" s="493"/>
      <c r="W22" s="418"/>
      <c r="Y22" s="444"/>
      <c r="Z22" s="427" t="s">
        <v>371</v>
      </c>
      <c r="AJ22" s="445"/>
      <c r="AK22" s="419"/>
      <c r="AQ22" s="492"/>
      <c r="AR22" s="444"/>
      <c r="AT22" s="423" t="s">
        <v>361</v>
      </c>
      <c r="AX22" s="505"/>
      <c r="AY22" s="507"/>
      <c r="AZ22" s="507"/>
      <c r="BA22" s="507"/>
      <c r="BB22" s="507"/>
      <c r="BH22" s="445"/>
      <c r="BI22" s="493"/>
      <c r="BK22" s="418"/>
      <c r="BM22" s="444"/>
      <c r="BN22" s="427" t="s">
        <v>371</v>
      </c>
      <c r="BX22" s="445"/>
      <c r="BY22" s="419"/>
      <c r="CE22" s="492"/>
      <c r="CF22" s="444"/>
      <c r="CH22" s="423" t="s">
        <v>361</v>
      </c>
      <c r="CL22" s="505"/>
      <c r="CM22" s="507"/>
      <c r="CN22" s="507"/>
      <c r="CO22" s="507"/>
      <c r="CP22" s="507"/>
      <c r="CV22" s="445"/>
      <c r="CW22" s="493"/>
      <c r="CY22" s="418"/>
      <c r="DA22" s="444"/>
      <c r="DB22" s="427" t="s">
        <v>371</v>
      </c>
      <c r="DL22" s="445"/>
      <c r="DM22" s="419"/>
      <c r="DS22" s="492"/>
      <c r="DT22" s="444"/>
      <c r="DV22" s="423" t="s">
        <v>361</v>
      </c>
      <c r="DZ22" s="505"/>
      <c r="EA22" s="507"/>
      <c r="EB22" s="507"/>
      <c r="EC22" s="507"/>
      <c r="ED22" s="507"/>
      <c r="EJ22" s="445"/>
      <c r="EK22" s="493"/>
      <c r="EM22" s="418"/>
      <c r="EO22" s="444"/>
      <c r="EP22" s="427" t="s">
        <v>371</v>
      </c>
      <c r="EZ22" s="445"/>
      <c r="FA22" s="419"/>
      <c r="FG22" s="492"/>
      <c r="FH22" s="444"/>
      <c r="FJ22" s="423" t="s">
        <v>361</v>
      </c>
      <c r="FN22" s="505"/>
      <c r="FO22" s="507"/>
      <c r="FP22" s="507"/>
      <c r="FQ22" s="507"/>
      <c r="FR22" s="507"/>
      <c r="FX22" s="445"/>
      <c r="FY22" s="493"/>
      <c r="GA22" s="418"/>
      <c r="GC22" s="444"/>
      <c r="GD22" s="427" t="s">
        <v>371</v>
      </c>
      <c r="GN22" s="445"/>
      <c r="GO22" s="419"/>
    </row>
    <row r="23" spans="3:197" ht="18.75" customHeight="1" x14ac:dyDescent="0.25">
      <c r="C23" s="492"/>
      <c r="D23" s="444"/>
      <c r="F23" s="423" t="s">
        <v>365</v>
      </c>
      <c r="J23" s="505"/>
      <c r="K23" s="507"/>
      <c r="L23" s="507"/>
      <c r="M23" s="507"/>
      <c r="N23" s="507"/>
      <c r="T23" s="445"/>
      <c r="U23" s="493"/>
      <c r="W23" s="418"/>
      <c r="Y23" s="444"/>
      <c r="Z23" s="428" t="s">
        <v>372</v>
      </c>
      <c r="AJ23" s="445"/>
      <c r="AK23" s="419"/>
      <c r="AQ23" s="492"/>
      <c r="AR23" s="444"/>
      <c r="AT23" s="423" t="s">
        <v>365</v>
      </c>
      <c r="AX23" s="505"/>
      <c r="AY23" s="507"/>
      <c r="AZ23" s="507"/>
      <c r="BA23" s="507"/>
      <c r="BB23" s="507"/>
      <c r="BH23" s="445"/>
      <c r="BI23" s="493"/>
      <c r="BK23" s="418"/>
      <c r="BM23" s="444"/>
      <c r="BN23" s="428" t="s">
        <v>372</v>
      </c>
      <c r="BX23" s="445"/>
      <c r="BY23" s="419"/>
      <c r="CE23" s="492"/>
      <c r="CF23" s="444"/>
      <c r="CH23" s="423" t="s">
        <v>365</v>
      </c>
      <c r="CL23" s="505"/>
      <c r="CM23" s="507"/>
      <c r="CN23" s="507"/>
      <c r="CO23" s="507"/>
      <c r="CP23" s="507"/>
      <c r="CV23" s="445"/>
      <c r="CW23" s="493"/>
      <c r="CY23" s="418"/>
      <c r="DA23" s="444"/>
      <c r="DB23" s="428" t="s">
        <v>372</v>
      </c>
      <c r="DL23" s="445"/>
      <c r="DM23" s="419"/>
      <c r="DS23" s="492"/>
      <c r="DT23" s="444"/>
      <c r="DV23" s="423" t="s">
        <v>365</v>
      </c>
      <c r="DZ23" s="505"/>
      <c r="EA23" s="507"/>
      <c r="EB23" s="507"/>
      <c r="EC23" s="507"/>
      <c r="ED23" s="507"/>
      <c r="EJ23" s="445"/>
      <c r="EK23" s="493"/>
      <c r="EM23" s="418"/>
      <c r="EO23" s="444"/>
      <c r="EP23" s="428" t="s">
        <v>372</v>
      </c>
      <c r="EZ23" s="445"/>
      <c r="FA23" s="419"/>
      <c r="FG23" s="492"/>
      <c r="FH23" s="444"/>
      <c r="FJ23" s="423" t="s">
        <v>365</v>
      </c>
      <c r="FN23" s="505"/>
      <c r="FO23" s="507"/>
      <c r="FP23" s="507"/>
      <c r="FQ23" s="507"/>
      <c r="FR23" s="507"/>
      <c r="FX23" s="445"/>
      <c r="FY23" s="493"/>
      <c r="GA23" s="418"/>
      <c r="GC23" s="444"/>
      <c r="GD23" s="428" t="s">
        <v>372</v>
      </c>
      <c r="GN23" s="445"/>
      <c r="GO23" s="419"/>
    </row>
    <row r="24" spans="3:197" ht="24.75" customHeight="1" x14ac:dyDescent="0.25">
      <c r="C24" s="492"/>
      <c r="D24" s="444"/>
      <c r="F24" s="505"/>
      <c r="J24" s="505"/>
      <c r="K24" s="507"/>
      <c r="L24" s="507"/>
      <c r="M24" s="507"/>
      <c r="N24" s="507"/>
      <c r="T24" s="445"/>
      <c r="U24" s="493"/>
      <c r="W24" s="418"/>
      <c r="Y24" s="444"/>
      <c r="Z24" s="428" t="s">
        <v>373</v>
      </c>
      <c r="AJ24" s="445"/>
      <c r="AK24" s="419"/>
      <c r="AQ24" s="492"/>
      <c r="AR24" s="444"/>
      <c r="AT24" s="505"/>
      <c r="AX24" s="505"/>
      <c r="AY24" s="507"/>
      <c r="AZ24" s="507"/>
      <c r="BA24" s="507"/>
      <c r="BB24" s="507"/>
      <c r="BH24" s="445"/>
      <c r="BI24" s="493"/>
      <c r="BK24" s="418"/>
      <c r="BM24" s="444"/>
      <c r="BN24" s="428" t="s">
        <v>373</v>
      </c>
      <c r="BX24" s="445"/>
      <c r="BY24" s="419"/>
      <c r="CE24" s="492"/>
      <c r="CF24" s="444"/>
      <c r="CH24" s="505"/>
      <c r="CL24" s="505"/>
      <c r="CM24" s="507"/>
      <c r="CN24" s="507"/>
      <c r="CO24" s="507"/>
      <c r="CP24" s="507"/>
      <c r="CV24" s="445"/>
      <c r="CW24" s="493"/>
      <c r="CY24" s="418"/>
      <c r="DA24" s="444"/>
      <c r="DB24" s="428" t="s">
        <v>373</v>
      </c>
      <c r="DL24" s="445"/>
      <c r="DM24" s="419"/>
      <c r="DS24" s="492"/>
      <c r="DT24" s="444"/>
      <c r="DV24" s="505"/>
      <c r="DZ24" s="505"/>
      <c r="EA24" s="507"/>
      <c r="EB24" s="507"/>
      <c r="EC24" s="507"/>
      <c r="ED24" s="507"/>
      <c r="EJ24" s="445"/>
      <c r="EK24" s="493"/>
      <c r="EM24" s="418"/>
      <c r="EO24" s="444"/>
      <c r="EP24" s="428" t="s">
        <v>373</v>
      </c>
      <c r="EZ24" s="445"/>
      <c r="FA24" s="419"/>
      <c r="FG24" s="492"/>
      <c r="FH24" s="444"/>
      <c r="FJ24" s="505"/>
      <c r="FN24" s="505"/>
      <c r="FO24" s="507"/>
      <c r="FP24" s="507"/>
      <c r="FQ24" s="507"/>
      <c r="FR24" s="507"/>
      <c r="FX24" s="445"/>
      <c r="FY24" s="493"/>
      <c r="GA24" s="418"/>
      <c r="GC24" s="444"/>
      <c r="GD24" s="428" t="s">
        <v>373</v>
      </c>
      <c r="GN24" s="445"/>
      <c r="GO24" s="419"/>
    </row>
    <row r="25" spans="3:197" ht="24.75" customHeight="1" x14ac:dyDescent="0.25">
      <c r="C25" s="492"/>
      <c r="D25" s="444"/>
      <c r="E25" s="23" t="s">
        <v>374</v>
      </c>
      <c r="F25" s="505"/>
      <c r="G25" s="500"/>
      <c r="H25" s="500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T25" s="445"/>
      <c r="U25" s="493"/>
      <c r="W25" s="418"/>
      <c r="Y25" s="444"/>
      <c r="AJ25" s="445"/>
      <c r="AK25" s="419"/>
      <c r="AQ25" s="492"/>
      <c r="AR25" s="444"/>
      <c r="AS25" s="23" t="s">
        <v>374</v>
      </c>
      <c r="AT25" s="505"/>
      <c r="AU25" s="500"/>
      <c r="AV25" s="500"/>
      <c r="AW25" s="500"/>
      <c r="AX25" s="500"/>
      <c r="AY25" s="500"/>
      <c r="AZ25" s="500"/>
      <c r="BA25" s="500"/>
      <c r="BB25" s="500"/>
      <c r="BC25" s="500"/>
      <c r="BD25" s="500"/>
      <c r="BE25" s="500"/>
      <c r="BF25" s="500"/>
      <c r="BH25" s="445"/>
      <c r="BI25" s="493"/>
      <c r="BK25" s="418"/>
      <c r="BM25" s="444"/>
      <c r="BX25" s="445"/>
      <c r="BY25" s="419"/>
      <c r="CE25" s="492"/>
      <c r="CF25" s="444"/>
      <c r="CG25" s="23" t="s">
        <v>374</v>
      </c>
      <c r="CH25" s="505"/>
      <c r="CI25" s="500"/>
      <c r="CJ25" s="500"/>
      <c r="CK25" s="500"/>
      <c r="CL25" s="500"/>
      <c r="CM25" s="500"/>
      <c r="CN25" s="500"/>
      <c r="CO25" s="500"/>
      <c r="CP25" s="500"/>
      <c r="CQ25" s="500"/>
      <c r="CR25" s="500"/>
      <c r="CS25" s="500"/>
      <c r="CT25" s="500"/>
      <c r="CV25" s="445"/>
      <c r="CW25" s="493"/>
      <c r="CY25" s="418"/>
      <c r="DA25" s="444"/>
      <c r="DL25" s="445"/>
      <c r="DM25" s="419"/>
      <c r="DS25" s="492"/>
      <c r="DT25" s="444"/>
      <c r="DU25" s="23" t="s">
        <v>374</v>
      </c>
      <c r="DV25" s="505"/>
      <c r="DW25" s="500"/>
      <c r="DX25" s="500"/>
      <c r="DY25" s="500"/>
      <c r="DZ25" s="500"/>
      <c r="EA25" s="500"/>
      <c r="EB25" s="500"/>
      <c r="EC25" s="500"/>
      <c r="ED25" s="500"/>
      <c r="EE25" s="500"/>
      <c r="EF25" s="500"/>
      <c r="EG25" s="500"/>
      <c r="EH25" s="500"/>
      <c r="EJ25" s="445"/>
      <c r="EK25" s="493"/>
      <c r="EM25" s="418"/>
      <c r="EO25" s="444"/>
      <c r="EZ25" s="445"/>
      <c r="FA25" s="419"/>
      <c r="FG25" s="492"/>
      <c r="FH25" s="444"/>
      <c r="FI25" s="23" t="s">
        <v>374</v>
      </c>
      <c r="FJ25" s="505"/>
      <c r="FK25" s="500"/>
      <c r="FL25" s="500"/>
      <c r="FM25" s="500"/>
      <c r="FN25" s="500"/>
      <c r="FO25" s="500"/>
      <c r="FP25" s="500"/>
      <c r="FQ25" s="500"/>
      <c r="FR25" s="500"/>
      <c r="FS25" s="500"/>
      <c r="FT25" s="500"/>
      <c r="FU25" s="500"/>
      <c r="FV25" s="500"/>
      <c r="FX25" s="445"/>
      <c r="FY25" s="493"/>
      <c r="GA25" s="418"/>
      <c r="GC25" s="444"/>
      <c r="GN25" s="445"/>
      <c r="GO25" s="419"/>
    </row>
    <row r="26" spans="3:197" ht="24.75" customHeight="1" x14ac:dyDescent="0.3">
      <c r="C26" s="492"/>
      <c r="D26" s="444"/>
      <c r="F26" s="423" t="s">
        <v>361</v>
      </c>
      <c r="N26" s="425"/>
      <c r="T26" s="445"/>
      <c r="U26" s="493"/>
      <c r="W26" s="418"/>
      <c r="Y26" s="444"/>
      <c r="Z26" s="429" t="s">
        <v>375</v>
      </c>
      <c r="AA26" s="430"/>
      <c r="AB26" s="431"/>
      <c r="AJ26" s="445"/>
      <c r="AK26" s="419"/>
      <c r="AQ26" s="492"/>
      <c r="AR26" s="444"/>
      <c r="AT26" s="423" t="s">
        <v>361</v>
      </c>
      <c r="BB26" s="425"/>
      <c r="BH26" s="445"/>
      <c r="BI26" s="493"/>
      <c r="BK26" s="418"/>
      <c r="BM26" s="444"/>
      <c r="BN26" s="429" t="s">
        <v>375</v>
      </c>
      <c r="BO26" s="430"/>
      <c r="BP26" s="431"/>
      <c r="BX26" s="445"/>
      <c r="BY26" s="419"/>
      <c r="CE26" s="492"/>
      <c r="CF26" s="444"/>
      <c r="CH26" s="423" t="s">
        <v>361</v>
      </c>
      <c r="CP26" s="425"/>
      <c r="CV26" s="445"/>
      <c r="CW26" s="493"/>
      <c r="CY26" s="418"/>
      <c r="DA26" s="444"/>
      <c r="DB26" s="429" t="s">
        <v>375</v>
      </c>
      <c r="DC26" s="430"/>
      <c r="DD26" s="431"/>
      <c r="DL26" s="445"/>
      <c r="DM26" s="419"/>
      <c r="DS26" s="492"/>
      <c r="DT26" s="444"/>
      <c r="DV26" s="423" t="s">
        <v>361</v>
      </c>
      <c r="ED26" s="425"/>
      <c r="EJ26" s="445"/>
      <c r="EK26" s="493"/>
      <c r="EM26" s="418"/>
      <c r="EO26" s="444"/>
      <c r="EP26" s="429" t="s">
        <v>375</v>
      </c>
      <c r="EQ26" s="430"/>
      <c r="ER26" s="431"/>
      <c r="EZ26" s="445"/>
      <c r="FA26" s="419"/>
      <c r="FG26" s="492"/>
      <c r="FH26" s="444"/>
      <c r="FJ26" s="423" t="s">
        <v>361</v>
      </c>
      <c r="FR26" s="425"/>
      <c r="FX26" s="445"/>
      <c r="FY26" s="493"/>
      <c r="GA26" s="418"/>
      <c r="GC26" s="444"/>
      <c r="GD26" s="429" t="s">
        <v>375</v>
      </c>
      <c r="GE26" s="430"/>
      <c r="GF26" s="431"/>
      <c r="GN26" s="445"/>
      <c r="GO26" s="419"/>
    </row>
    <row r="27" spans="3:197" ht="30" x14ac:dyDescent="0.25">
      <c r="C27" s="492"/>
      <c r="D27" s="444"/>
      <c r="F27" s="423" t="s">
        <v>365</v>
      </c>
      <c r="I27" s="409"/>
      <c r="J27" s="409"/>
      <c r="N27" s="425"/>
      <c r="T27" s="445"/>
      <c r="U27" s="493"/>
      <c r="W27" s="418"/>
      <c r="Y27" s="444"/>
      <c r="Z27" s="453" t="s">
        <v>74</v>
      </c>
      <c r="AA27" s="454" t="s">
        <v>376</v>
      </c>
      <c r="AB27" s="454" t="s">
        <v>377</v>
      </c>
      <c r="AC27" s="454" t="s">
        <v>378</v>
      </c>
      <c r="AD27" s="454" t="s">
        <v>379</v>
      </c>
      <c r="AE27" s="638" t="s">
        <v>380</v>
      </c>
      <c r="AF27" s="639"/>
      <c r="AJ27" s="445"/>
      <c r="AK27" s="419"/>
      <c r="AQ27" s="492"/>
      <c r="AR27" s="444"/>
      <c r="AT27" s="423" t="s">
        <v>365</v>
      </c>
      <c r="AW27" s="409"/>
      <c r="AX27" s="409"/>
      <c r="BB27" s="425"/>
      <c r="BH27" s="445"/>
      <c r="BI27" s="493"/>
      <c r="BK27" s="418"/>
      <c r="BM27" s="444"/>
      <c r="BN27" s="453" t="s">
        <v>74</v>
      </c>
      <c r="BO27" s="454" t="s">
        <v>376</v>
      </c>
      <c r="BP27" s="454" t="s">
        <v>377</v>
      </c>
      <c r="BQ27" s="454" t="s">
        <v>378</v>
      </c>
      <c r="BR27" s="454" t="s">
        <v>379</v>
      </c>
      <c r="BS27" s="638" t="s">
        <v>380</v>
      </c>
      <c r="BT27" s="639"/>
      <c r="BX27" s="445"/>
      <c r="BY27" s="419"/>
      <c r="CE27" s="492"/>
      <c r="CF27" s="444"/>
      <c r="CH27" s="423" t="s">
        <v>365</v>
      </c>
      <c r="CK27" s="409"/>
      <c r="CL27" s="409"/>
      <c r="CP27" s="425"/>
      <c r="CV27" s="445"/>
      <c r="CW27" s="493"/>
      <c r="CY27" s="418"/>
      <c r="DA27" s="444"/>
      <c r="DB27" s="453" t="s">
        <v>74</v>
      </c>
      <c r="DC27" s="454" t="s">
        <v>376</v>
      </c>
      <c r="DD27" s="454" t="s">
        <v>377</v>
      </c>
      <c r="DE27" s="454" t="s">
        <v>378</v>
      </c>
      <c r="DF27" s="454" t="s">
        <v>379</v>
      </c>
      <c r="DG27" s="638" t="s">
        <v>380</v>
      </c>
      <c r="DH27" s="639"/>
      <c r="DL27" s="445"/>
      <c r="DM27" s="419"/>
      <c r="DS27" s="492"/>
      <c r="DT27" s="444"/>
      <c r="DV27" s="423" t="s">
        <v>365</v>
      </c>
      <c r="DY27" s="409"/>
      <c r="DZ27" s="409"/>
      <c r="ED27" s="425"/>
      <c r="EJ27" s="445"/>
      <c r="EK27" s="493"/>
      <c r="EM27" s="418"/>
      <c r="EO27" s="444"/>
      <c r="EP27" s="453" t="s">
        <v>74</v>
      </c>
      <c r="EQ27" s="454" t="s">
        <v>376</v>
      </c>
      <c r="ER27" s="454" t="s">
        <v>377</v>
      </c>
      <c r="ES27" s="454" t="s">
        <v>378</v>
      </c>
      <c r="ET27" s="454" t="s">
        <v>379</v>
      </c>
      <c r="EU27" s="638" t="s">
        <v>380</v>
      </c>
      <c r="EV27" s="639"/>
      <c r="EZ27" s="445"/>
      <c r="FA27" s="419"/>
      <c r="FG27" s="492"/>
      <c r="FH27" s="444"/>
      <c r="FJ27" s="423" t="s">
        <v>365</v>
      </c>
      <c r="FM27" s="409"/>
      <c r="FN27" s="409"/>
      <c r="FR27" s="425"/>
      <c r="FX27" s="445"/>
      <c r="FY27" s="493"/>
      <c r="GA27" s="418"/>
      <c r="GC27" s="444"/>
      <c r="GD27" s="453" t="s">
        <v>74</v>
      </c>
      <c r="GE27" s="454" t="s">
        <v>376</v>
      </c>
      <c r="GF27" s="454" t="s">
        <v>377</v>
      </c>
      <c r="GG27" s="454" t="s">
        <v>378</v>
      </c>
      <c r="GH27" s="454" t="s">
        <v>379</v>
      </c>
      <c r="GI27" s="638" t="s">
        <v>380</v>
      </c>
      <c r="GJ27" s="639"/>
      <c r="GN27" s="445"/>
      <c r="GO27" s="419"/>
    </row>
    <row r="28" spans="3:197" ht="32.25" customHeight="1" x14ac:dyDescent="0.3">
      <c r="C28" s="492"/>
      <c r="D28" s="444"/>
      <c r="F28" s="505"/>
      <c r="I28" s="409"/>
      <c r="J28" s="409"/>
      <c r="N28" s="425"/>
      <c r="R28" s="508" t="s">
        <v>381</v>
      </c>
      <c r="T28" s="445"/>
      <c r="U28" s="493"/>
      <c r="W28" s="418"/>
      <c r="Y28" s="444"/>
      <c r="Z28" s="455">
        <v>1</v>
      </c>
      <c r="AA28" s="425" t="s">
        <v>382</v>
      </c>
      <c r="AB28" s="405" t="s">
        <v>383</v>
      </c>
      <c r="AC28" s="426" t="s">
        <v>384</v>
      </c>
      <c r="AD28" s="426" t="s">
        <v>385</v>
      </c>
      <c r="AE28" s="459" t="s">
        <v>386</v>
      </c>
      <c r="AF28" s="460"/>
      <c r="AJ28" s="445"/>
      <c r="AK28" s="419"/>
      <c r="AQ28" s="492"/>
      <c r="AR28" s="444"/>
      <c r="AT28" s="505"/>
      <c r="AW28" s="409"/>
      <c r="AX28" s="409"/>
      <c r="BB28" s="425"/>
      <c r="BF28" s="508" t="s">
        <v>381</v>
      </c>
      <c r="BH28" s="445"/>
      <c r="BI28" s="493"/>
      <c r="BK28" s="418"/>
      <c r="BM28" s="444"/>
      <c r="BN28" s="455">
        <v>1</v>
      </c>
      <c r="BO28" s="425" t="s">
        <v>382</v>
      </c>
      <c r="BP28" s="405" t="s">
        <v>383</v>
      </c>
      <c r="BQ28" s="426" t="s">
        <v>384</v>
      </c>
      <c r="BR28" s="426" t="s">
        <v>385</v>
      </c>
      <c r="BS28" s="459" t="s">
        <v>386</v>
      </c>
      <c r="BT28" s="460"/>
      <c r="BX28" s="445"/>
      <c r="BY28" s="419"/>
      <c r="CE28" s="492"/>
      <c r="CF28" s="444"/>
      <c r="CH28" s="505"/>
      <c r="CK28" s="409"/>
      <c r="CL28" s="409"/>
      <c r="CP28" s="425"/>
      <c r="CT28" s="508" t="s">
        <v>381</v>
      </c>
      <c r="CV28" s="445"/>
      <c r="CW28" s="493"/>
      <c r="CY28" s="418"/>
      <c r="DA28" s="444"/>
      <c r="DB28" s="455">
        <v>1</v>
      </c>
      <c r="DC28" s="425" t="s">
        <v>382</v>
      </c>
      <c r="DD28" s="405" t="s">
        <v>383</v>
      </c>
      <c r="DE28" s="426" t="s">
        <v>384</v>
      </c>
      <c r="DF28" s="426" t="s">
        <v>385</v>
      </c>
      <c r="DG28" s="459" t="s">
        <v>386</v>
      </c>
      <c r="DH28" s="460"/>
      <c r="DL28" s="445"/>
      <c r="DM28" s="419"/>
      <c r="DS28" s="492"/>
      <c r="DT28" s="444"/>
      <c r="DV28" s="505"/>
      <c r="DY28" s="409"/>
      <c r="DZ28" s="409"/>
      <c r="ED28" s="425"/>
      <c r="EH28" s="508" t="s">
        <v>381</v>
      </c>
      <c r="EJ28" s="445"/>
      <c r="EK28" s="493"/>
      <c r="EM28" s="418"/>
      <c r="EO28" s="444"/>
      <c r="EP28" s="455">
        <v>1</v>
      </c>
      <c r="EQ28" s="425" t="s">
        <v>382</v>
      </c>
      <c r="ER28" s="405" t="s">
        <v>383</v>
      </c>
      <c r="ES28" s="426" t="s">
        <v>384</v>
      </c>
      <c r="ET28" s="426" t="s">
        <v>385</v>
      </c>
      <c r="EU28" s="459" t="s">
        <v>386</v>
      </c>
      <c r="EV28" s="460"/>
      <c r="EZ28" s="445"/>
      <c r="FA28" s="419"/>
      <c r="FG28" s="492"/>
      <c r="FH28" s="444"/>
      <c r="FJ28" s="505"/>
      <c r="FM28" s="409"/>
      <c r="FN28" s="409"/>
      <c r="FR28" s="425"/>
      <c r="FV28" s="508" t="s">
        <v>381</v>
      </c>
      <c r="FX28" s="445"/>
      <c r="FY28" s="493"/>
      <c r="GA28" s="418"/>
      <c r="GC28" s="444"/>
      <c r="GD28" s="455">
        <v>1</v>
      </c>
      <c r="GE28" s="425" t="s">
        <v>382</v>
      </c>
      <c r="GF28" s="405" t="s">
        <v>383</v>
      </c>
      <c r="GG28" s="426" t="s">
        <v>384</v>
      </c>
      <c r="GH28" s="426" t="s">
        <v>385</v>
      </c>
      <c r="GI28" s="459" t="s">
        <v>386</v>
      </c>
      <c r="GJ28" s="460"/>
      <c r="GN28" s="445"/>
      <c r="GO28" s="419"/>
    </row>
    <row r="29" spans="3:197" ht="19.5" customHeight="1" x14ac:dyDescent="0.3">
      <c r="C29" s="492"/>
      <c r="D29" s="444"/>
      <c r="E29" s="500" t="s">
        <v>387</v>
      </c>
      <c r="F29" s="500"/>
      <c r="G29" s="509"/>
      <c r="H29" s="509"/>
      <c r="J29" s="38"/>
      <c r="K29" s="38"/>
      <c r="T29" s="445"/>
      <c r="U29" s="493"/>
      <c r="W29" s="418"/>
      <c r="Y29" s="444"/>
      <c r="Z29" s="455">
        <v>3</v>
      </c>
      <c r="AA29" s="405" t="s">
        <v>388</v>
      </c>
      <c r="AB29" s="405" t="s">
        <v>389</v>
      </c>
      <c r="AC29" s="426" t="s">
        <v>384</v>
      </c>
      <c r="AD29" s="426" t="s">
        <v>384</v>
      </c>
      <c r="AE29" s="459" t="s">
        <v>390</v>
      </c>
      <c r="AF29" s="460"/>
      <c r="AJ29" s="445"/>
      <c r="AK29" s="419"/>
      <c r="AQ29" s="492"/>
      <c r="AR29" s="444"/>
      <c r="AS29" s="500" t="s">
        <v>387</v>
      </c>
      <c r="AT29" s="500"/>
      <c r="AU29" s="509"/>
      <c r="AV29" s="509"/>
      <c r="AX29" s="38"/>
      <c r="AY29" s="38"/>
      <c r="BH29" s="445"/>
      <c r="BI29" s="493"/>
      <c r="BK29" s="418"/>
      <c r="BM29" s="444"/>
      <c r="BN29" s="455">
        <v>3</v>
      </c>
      <c r="BO29" s="405" t="s">
        <v>388</v>
      </c>
      <c r="BP29" s="405" t="s">
        <v>389</v>
      </c>
      <c r="BQ29" s="426" t="s">
        <v>384</v>
      </c>
      <c r="BR29" s="426" t="s">
        <v>384</v>
      </c>
      <c r="BS29" s="459" t="s">
        <v>390</v>
      </c>
      <c r="BT29" s="460"/>
      <c r="BX29" s="445"/>
      <c r="BY29" s="419"/>
      <c r="CE29" s="492"/>
      <c r="CF29" s="444"/>
      <c r="CG29" s="500" t="s">
        <v>387</v>
      </c>
      <c r="CH29" s="500"/>
      <c r="CI29" s="509"/>
      <c r="CJ29" s="509"/>
      <c r="CL29" s="38"/>
      <c r="CM29" s="38"/>
      <c r="CV29" s="445"/>
      <c r="CW29" s="493"/>
      <c r="CY29" s="418"/>
      <c r="DA29" s="444"/>
      <c r="DB29" s="455">
        <v>3</v>
      </c>
      <c r="DC29" s="405" t="s">
        <v>388</v>
      </c>
      <c r="DD29" s="405" t="s">
        <v>389</v>
      </c>
      <c r="DE29" s="426" t="s">
        <v>384</v>
      </c>
      <c r="DF29" s="426" t="s">
        <v>384</v>
      </c>
      <c r="DG29" s="459" t="s">
        <v>390</v>
      </c>
      <c r="DH29" s="460"/>
      <c r="DL29" s="445"/>
      <c r="DM29" s="419"/>
      <c r="DS29" s="492"/>
      <c r="DT29" s="444"/>
      <c r="DU29" s="500" t="s">
        <v>387</v>
      </c>
      <c r="DV29" s="500"/>
      <c r="DW29" s="509"/>
      <c r="DX29" s="509"/>
      <c r="DZ29" s="38"/>
      <c r="EA29" s="38"/>
      <c r="EJ29" s="445"/>
      <c r="EK29" s="493"/>
      <c r="EM29" s="418"/>
      <c r="EO29" s="444"/>
      <c r="EP29" s="455">
        <v>3</v>
      </c>
      <c r="EQ29" s="405" t="s">
        <v>388</v>
      </c>
      <c r="ER29" s="405" t="s">
        <v>389</v>
      </c>
      <c r="ES29" s="426" t="s">
        <v>384</v>
      </c>
      <c r="ET29" s="426" t="s">
        <v>384</v>
      </c>
      <c r="EU29" s="459" t="s">
        <v>390</v>
      </c>
      <c r="EV29" s="460"/>
      <c r="EZ29" s="445"/>
      <c r="FA29" s="419"/>
      <c r="FG29" s="492"/>
      <c r="FH29" s="444"/>
      <c r="FI29" s="500" t="s">
        <v>387</v>
      </c>
      <c r="FJ29" s="500"/>
      <c r="FK29" s="509"/>
      <c r="FL29" s="509"/>
      <c r="FN29" s="38"/>
      <c r="FO29" s="38"/>
      <c r="FX29" s="445"/>
      <c r="FY29" s="493"/>
      <c r="GA29" s="418"/>
      <c r="GC29" s="444"/>
      <c r="GD29" s="455">
        <v>3</v>
      </c>
      <c r="GE29" s="405" t="s">
        <v>388</v>
      </c>
      <c r="GF29" s="405" t="s">
        <v>389</v>
      </c>
      <c r="GG29" s="426" t="s">
        <v>384</v>
      </c>
      <c r="GH29" s="426" t="s">
        <v>384</v>
      </c>
      <c r="GI29" s="459" t="s">
        <v>390</v>
      </c>
      <c r="GJ29" s="460"/>
      <c r="GN29" s="445"/>
      <c r="GO29" s="419"/>
    </row>
    <row r="30" spans="3:197" ht="19.5" customHeight="1" x14ac:dyDescent="0.25">
      <c r="C30" s="492"/>
      <c r="D30" s="444"/>
      <c r="F30" s="423" t="s">
        <v>361</v>
      </c>
      <c r="T30" s="445"/>
      <c r="U30" s="493"/>
      <c r="W30" s="418"/>
      <c r="Y30" s="444"/>
      <c r="Z30" s="456">
        <v>4</v>
      </c>
      <c r="AA30" s="457" t="s">
        <v>391</v>
      </c>
      <c r="AB30" s="457" t="s">
        <v>389</v>
      </c>
      <c r="AC30" s="458" t="s">
        <v>384</v>
      </c>
      <c r="AD30" s="458" t="s">
        <v>384</v>
      </c>
      <c r="AE30" s="461" t="s">
        <v>392</v>
      </c>
      <c r="AF30" s="462"/>
      <c r="AH30" s="405"/>
      <c r="AJ30" s="445"/>
      <c r="AK30" s="419"/>
      <c r="AQ30" s="492"/>
      <c r="AR30" s="444"/>
      <c r="AT30" s="423" t="s">
        <v>361</v>
      </c>
      <c r="BH30" s="445"/>
      <c r="BI30" s="493"/>
      <c r="BK30" s="418"/>
      <c r="BM30" s="444"/>
      <c r="BN30" s="456">
        <v>4</v>
      </c>
      <c r="BO30" s="457" t="s">
        <v>391</v>
      </c>
      <c r="BP30" s="457" t="s">
        <v>389</v>
      </c>
      <c r="BQ30" s="458" t="s">
        <v>384</v>
      </c>
      <c r="BR30" s="458" t="s">
        <v>384</v>
      </c>
      <c r="BS30" s="461" t="s">
        <v>392</v>
      </c>
      <c r="BT30" s="462"/>
      <c r="BV30" s="405"/>
      <c r="BX30" s="445"/>
      <c r="BY30" s="419"/>
      <c r="CE30" s="492"/>
      <c r="CF30" s="444"/>
      <c r="CH30" s="423" t="s">
        <v>361</v>
      </c>
      <c r="CV30" s="445"/>
      <c r="CW30" s="493"/>
      <c r="CY30" s="418"/>
      <c r="DA30" s="444"/>
      <c r="DB30" s="456">
        <v>4</v>
      </c>
      <c r="DC30" s="457" t="s">
        <v>391</v>
      </c>
      <c r="DD30" s="457" t="s">
        <v>389</v>
      </c>
      <c r="DE30" s="458" t="s">
        <v>384</v>
      </c>
      <c r="DF30" s="458" t="s">
        <v>384</v>
      </c>
      <c r="DG30" s="461" t="s">
        <v>393</v>
      </c>
      <c r="DH30" s="462"/>
      <c r="DJ30" s="405"/>
      <c r="DL30" s="445"/>
      <c r="DM30" s="419"/>
      <c r="DS30" s="492"/>
      <c r="DT30" s="444"/>
      <c r="DV30" s="423" t="s">
        <v>361</v>
      </c>
      <c r="EJ30" s="445"/>
      <c r="EK30" s="493"/>
      <c r="EM30" s="418"/>
      <c r="EO30" s="444"/>
      <c r="EP30" s="456">
        <v>4</v>
      </c>
      <c r="EQ30" s="457" t="s">
        <v>391</v>
      </c>
      <c r="ER30" s="457" t="s">
        <v>389</v>
      </c>
      <c r="ES30" s="458" t="s">
        <v>384</v>
      </c>
      <c r="ET30" s="458" t="s">
        <v>384</v>
      </c>
      <c r="EU30" s="461" t="s">
        <v>393</v>
      </c>
      <c r="EV30" s="462"/>
      <c r="EX30" s="405"/>
      <c r="EZ30" s="445"/>
      <c r="FA30" s="419"/>
      <c r="FG30" s="492"/>
      <c r="FH30" s="444"/>
      <c r="FJ30" s="423" t="s">
        <v>361</v>
      </c>
      <c r="FX30" s="445"/>
      <c r="FY30" s="493"/>
      <c r="GA30" s="418"/>
      <c r="GC30" s="444"/>
      <c r="GD30" s="456">
        <v>4</v>
      </c>
      <c r="GE30" s="457" t="s">
        <v>391</v>
      </c>
      <c r="GF30" s="457" t="s">
        <v>389</v>
      </c>
      <c r="GG30" s="458" t="s">
        <v>384</v>
      </c>
      <c r="GH30" s="458" t="s">
        <v>384</v>
      </c>
      <c r="GI30" s="461" t="s">
        <v>393</v>
      </c>
      <c r="GJ30" s="462"/>
      <c r="GL30" s="405"/>
      <c r="GN30" s="445"/>
      <c r="GO30" s="419"/>
    </row>
    <row r="31" spans="3:197" ht="16.5" customHeight="1" x14ac:dyDescent="0.25">
      <c r="C31" s="492"/>
      <c r="D31" s="444"/>
      <c r="F31" s="423" t="s">
        <v>365</v>
      </c>
      <c r="T31" s="445"/>
      <c r="U31" s="493"/>
      <c r="W31" s="418"/>
      <c r="Y31" s="444"/>
      <c r="AJ31" s="445"/>
      <c r="AK31" s="419"/>
      <c r="AQ31" s="492"/>
      <c r="AR31" s="444"/>
      <c r="AT31" s="423" t="s">
        <v>365</v>
      </c>
      <c r="BH31" s="445"/>
      <c r="BI31" s="493"/>
      <c r="BK31" s="418"/>
      <c r="BM31" s="444"/>
      <c r="BX31" s="445"/>
      <c r="BY31" s="419"/>
      <c r="CE31" s="492"/>
      <c r="CF31" s="444"/>
      <c r="CH31" s="423" t="s">
        <v>365</v>
      </c>
      <c r="CV31" s="445"/>
      <c r="CW31" s="493"/>
      <c r="CY31" s="418"/>
      <c r="DA31" s="444"/>
      <c r="DL31" s="445"/>
      <c r="DM31" s="419"/>
      <c r="DS31" s="492"/>
      <c r="DT31" s="444"/>
      <c r="DV31" s="423" t="s">
        <v>365</v>
      </c>
      <c r="EJ31" s="445"/>
      <c r="EK31" s="493"/>
      <c r="EM31" s="418"/>
      <c r="EO31" s="444"/>
      <c r="EZ31" s="445"/>
      <c r="FA31" s="419"/>
      <c r="FG31" s="492"/>
      <c r="FH31" s="444"/>
      <c r="FJ31" s="423" t="s">
        <v>365</v>
      </c>
      <c r="FX31" s="445"/>
      <c r="FY31" s="493"/>
      <c r="GA31" s="418"/>
      <c r="GC31" s="444"/>
      <c r="GN31" s="445"/>
      <c r="GO31" s="419"/>
    </row>
    <row r="32" spans="3:197" ht="22.5" customHeight="1" x14ac:dyDescent="0.25">
      <c r="C32" s="492"/>
      <c r="D32" s="444"/>
      <c r="T32" s="445"/>
      <c r="U32" s="493"/>
      <c r="W32" s="418"/>
      <c r="Y32" s="444"/>
      <c r="Z32" s="432" t="s">
        <v>394</v>
      </c>
      <c r="AA32" s="432"/>
      <c r="AB32" s="431"/>
      <c r="AJ32" s="445"/>
      <c r="AK32" s="419"/>
      <c r="AQ32" s="492"/>
      <c r="AR32" s="444"/>
      <c r="BH32" s="445"/>
      <c r="BI32" s="493"/>
      <c r="BK32" s="418"/>
      <c r="BM32" s="444"/>
      <c r="BN32" s="432" t="s">
        <v>394</v>
      </c>
      <c r="BO32" s="432"/>
      <c r="BP32" s="431"/>
      <c r="BX32" s="445"/>
      <c r="BY32" s="419"/>
      <c r="CE32" s="492"/>
      <c r="CF32" s="444"/>
      <c r="CV32" s="445"/>
      <c r="CW32" s="493"/>
      <c r="CY32" s="418"/>
      <c r="DA32" s="444"/>
      <c r="DB32" s="432" t="s">
        <v>394</v>
      </c>
      <c r="DC32" s="432"/>
      <c r="DD32" s="431"/>
      <c r="DL32" s="445"/>
      <c r="DM32" s="419"/>
      <c r="DS32" s="492"/>
      <c r="DT32" s="444"/>
      <c r="EJ32" s="445"/>
      <c r="EK32" s="493"/>
      <c r="EM32" s="418"/>
      <c r="EO32" s="444"/>
      <c r="EP32" s="432" t="s">
        <v>394</v>
      </c>
      <c r="EQ32" s="432"/>
      <c r="ER32" s="431"/>
      <c r="EZ32" s="445"/>
      <c r="FA32" s="419"/>
      <c r="FG32" s="492"/>
      <c r="FH32" s="444"/>
      <c r="FX32" s="445"/>
      <c r="FY32" s="493"/>
      <c r="GA32" s="418"/>
      <c r="GC32" s="444"/>
      <c r="GD32" s="432" t="s">
        <v>394</v>
      </c>
      <c r="GE32" s="432"/>
      <c r="GF32" s="431"/>
      <c r="GN32" s="445"/>
      <c r="GO32" s="419"/>
    </row>
    <row r="33" spans="3:197" ht="16.5" customHeight="1" x14ac:dyDescent="0.25">
      <c r="C33" s="492"/>
      <c r="D33" s="444"/>
      <c r="E33" s="500" t="s">
        <v>395</v>
      </c>
      <c r="F33" s="500"/>
      <c r="T33" s="445"/>
      <c r="U33" s="493"/>
      <c r="W33" s="418"/>
      <c r="Y33" s="444"/>
      <c r="Z33" s="453" t="s">
        <v>74</v>
      </c>
      <c r="AA33" s="454" t="s">
        <v>376</v>
      </c>
      <c r="AB33" s="454" t="s">
        <v>396</v>
      </c>
      <c r="AC33" s="638" t="s">
        <v>380</v>
      </c>
      <c r="AD33" s="640"/>
      <c r="AE33" s="640"/>
      <c r="AF33" s="639"/>
      <c r="AJ33" s="445"/>
      <c r="AK33" s="419"/>
      <c r="AQ33" s="492"/>
      <c r="AR33" s="444"/>
      <c r="AS33" s="500" t="s">
        <v>395</v>
      </c>
      <c r="AT33" s="500"/>
      <c r="BH33" s="445"/>
      <c r="BI33" s="493"/>
      <c r="BK33" s="418"/>
      <c r="BM33" s="444"/>
      <c r="BN33" s="453" t="s">
        <v>74</v>
      </c>
      <c r="BO33" s="454" t="s">
        <v>376</v>
      </c>
      <c r="BP33" s="454" t="s">
        <v>396</v>
      </c>
      <c r="BQ33" s="638" t="s">
        <v>380</v>
      </c>
      <c r="BR33" s="640"/>
      <c r="BS33" s="640"/>
      <c r="BT33" s="639"/>
      <c r="BX33" s="445"/>
      <c r="BY33" s="419"/>
      <c r="CE33" s="492"/>
      <c r="CF33" s="444"/>
      <c r="CG33" s="500" t="s">
        <v>395</v>
      </c>
      <c r="CH33" s="500"/>
      <c r="CV33" s="445"/>
      <c r="CW33" s="493"/>
      <c r="CY33" s="418"/>
      <c r="DA33" s="444"/>
      <c r="DB33" s="453" t="s">
        <v>74</v>
      </c>
      <c r="DC33" s="454" t="s">
        <v>376</v>
      </c>
      <c r="DD33" s="454" t="s">
        <v>396</v>
      </c>
      <c r="DE33" s="638" t="s">
        <v>380</v>
      </c>
      <c r="DF33" s="640"/>
      <c r="DG33" s="640"/>
      <c r="DH33" s="639"/>
      <c r="DL33" s="445"/>
      <c r="DM33" s="419"/>
      <c r="DS33" s="492"/>
      <c r="DT33" s="444"/>
      <c r="DU33" s="500" t="s">
        <v>395</v>
      </c>
      <c r="DV33" s="500"/>
      <c r="EJ33" s="445"/>
      <c r="EK33" s="493"/>
      <c r="EM33" s="418"/>
      <c r="EO33" s="444"/>
      <c r="EP33" s="453" t="s">
        <v>74</v>
      </c>
      <c r="EQ33" s="454" t="s">
        <v>376</v>
      </c>
      <c r="ER33" s="454" t="s">
        <v>396</v>
      </c>
      <c r="ES33" s="638" t="s">
        <v>380</v>
      </c>
      <c r="ET33" s="640"/>
      <c r="EU33" s="640"/>
      <c r="EV33" s="639"/>
      <c r="EZ33" s="445"/>
      <c r="FA33" s="419"/>
      <c r="FG33" s="492"/>
      <c r="FH33" s="444"/>
      <c r="FI33" s="500" t="s">
        <v>395</v>
      </c>
      <c r="FJ33" s="500"/>
      <c r="FX33" s="445"/>
      <c r="FY33" s="493"/>
      <c r="GA33" s="418"/>
      <c r="GC33" s="444"/>
      <c r="GD33" s="453" t="s">
        <v>74</v>
      </c>
      <c r="GE33" s="454" t="s">
        <v>376</v>
      </c>
      <c r="GF33" s="454" t="s">
        <v>396</v>
      </c>
      <c r="GG33" s="638" t="s">
        <v>380</v>
      </c>
      <c r="GH33" s="640"/>
      <c r="GI33" s="640"/>
      <c r="GJ33" s="639"/>
      <c r="GN33" s="445"/>
      <c r="GO33" s="419"/>
    </row>
    <row r="34" spans="3:197" ht="32.25" customHeight="1" x14ac:dyDescent="0.25">
      <c r="C34" s="492"/>
      <c r="D34" s="444"/>
      <c r="F34" s="423" t="s">
        <v>361</v>
      </c>
      <c r="T34" s="445"/>
      <c r="U34" s="493"/>
      <c r="W34" s="418"/>
      <c r="Y34" s="444"/>
      <c r="Z34" s="463">
        <v>1</v>
      </c>
      <c r="AA34" s="423" t="s">
        <v>382</v>
      </c>
      <c r="AB34" s="433" t="s">
        <v>397</v>
      </c>
      <c r="AC34" s="464"/>
      <c r="AD34" s="434"/>
      <c r="AE34" s="434"/>
      <c r="AF34" s="465"/>
      <c r="AJ34" s="445"/>
      <c r="AK34" s="419"/>
      <c r="AQ34" s="492"/>
      <c r="AR34" s="444"/>
      <c r="AT34" s="423" t="s">
        <v>361</v>
      </c>
      <c r="BH34" s="445"/>
      <c r="BI34" s="493"/>
      <c r="BK34" s="418"/>
      <c r="BM34" s="444"/>
      <c r="BN34" s="463">
        <v>1</v>
      </c>
      <c r="BO34" s="423" t="s">
        <v>382</v>
      </c>
      <c r="BP34" s="433" t="s">
        <v>398</v>
      </c>
      <c r="BQ34" s="464"/>
      <c r="BR34" s="434"/>
      <c r="BS34" s="434"/>
      <c r="BT34" s="465"/>
      <c r="BX34" s="445"/>
      <c r="BY34" s="419"/>
      <c r="CE34" s="492"/>
      <c r="CF34" s="444"/>
      <c r="CH34" s="423" t="s">
        <v>361</v>
      </c>
      <c r="CV34" s="445"/>
      <c r="CW34" s="493"/>
      <c r="CY34" s="418"/>
      <c r="DA34" s="444"/>
      <c r="DB34" s="463">
        <v>1</v>
      </c>
      <c r="DC34" s="423" t="s">
        <v>382</v>
      </c>
      <c r="DD34" s="433" t="s">
        <v>389</v>
      </c>
      <c r="DE34" s="464"/>
      <c r="DF34" s="434"/>
      <c r="DG34" s="434"/>
      <c r="DH34" s="465"/>
      <c r="DL34" s="445"/>
      <c r="DM34" s="419"/>
      <c r="DS34" s="492"/>
      <c r="DT34" s="444"/>
      <c r="DV34" s="423" t="s">
        <v>361</v>
      </c>
      <c r="EJ34" s="445"/>
      <c r="EK34" s="493"/>
      <c r="EM34" s="418"/>
      <c r="EO34" s="444"/>
      <c r="EP34" s="463">
        <v>1</v>
      </c>
      <c r="EQ34" s="423" t="s">
        <v>382</v>
      </c>
      <c r="ER34" s="433" t="s">
        <v>398</v>
      </c>
      <c r="ES34" s="464"/>
      <c r="ET34" s="434"/>
      <c r="EU34" s="434"/>
      <c r="EV34" s="465"/>
      <c r="EZ34" s="445"/>
      <c r="FA34" s="419"/>
      <c r="FG34" s="492"/>
      <c r="FH34" s="444"/>
      <c r="FJ34" s="423" t="s">
        <v>361</v>
      </c>
      <c r="FX34" s="445"/>
      <c r="FY34" s="493"/>
      <c r="GA34" s="418"/>
      <c r="GC34" s="444"/>
      <c r="GD34" s="463">
        <v>1</v>
      </c>
      <c r="GE34" s="423" t="s">
        <v>382</v>
      </c>
      <c r="GF34" s="433" t="s">
        <v>398</v>
      </c>
      <c r="GG34" s="464"/>
      <c r="GH34" s="434"/>
      <c r="GI34" s="434"/>
      <c r="GJ34" s="465"/>
      <c r="GN34" s="445"/>
      <c r="GO34" s="419"/>
    </row>
    <row r="35" spans="3:197" ht="17.25" customHeight="1" x14ac:dyDescent="0.25">
      <c r="C35" s="492"/>
      <c r="D35" s="444"/>
      <c r="F35" s="423" t="s">
        <v>365</v>
      </c>
      <c r="T35" s="445"/>
      <c r="U35" s="493"/>
      <c r="W35" s="418"/>
      <c r="Y35" s="444"/>
      <c r="Z35" s="455">
        <v>2</v>
      </c>
      <c r="AA35" s="405" t="s">
        <v>388</v>
      </c>
      <c r="AC35" s="459" t="s">
        <v>399</v>
      </c>
      <c r="AD35" s="435"/>
      <c r="AE35" s="435"/>
      <c r="AF35" s="466"/>
      <c r="AH35" s="424"/>
      <c r="AI35" s="424"/>
      <c r="AJ35" s="445"/>
      <c r="AK35" s="419"/>
      <c r="AQ35" s="492"/>
      <c r="AR35" s="444"/>
      <c r="AT35" s="423" t="s">
        <v>365</v>
      </c>
      <c r="BH35" s="445"/>
      <c r="BI35" s="493"/>
      <c r="BK35" s="418"/>
      <c r="BM35" s="444"/>
      <c r="BN35" s="455">
        <v>2</v>
      </c>
      <c r="BO35" s="405" t="s">
        <v>388</v>
      </c>
      <c r="BQ35" s="459" t="s">
        <v>399</v>
      </c>
      <c r="BR35" s="435"/>
      <c r="BS35" s="435"/>
      <c r="BT35" s="466"/>
      <c r="BV35" s="424"/>
      <c r="BW35" s="424"/>
      <c r="BX35" s="445"/>
      <c r="BY35" s="419"/>
      <c r="CE35" s="492"/>
      <c r="CF35" s="444"/>
      <c r="CH35" s="423" t="s">
        <v>365</v>
      </c>
      <c r="CV35" s="445"/>
      <c r="CW35" s="493"/>
      <c r="CY35" s="418"/>
      <c r="DA35" s="444"/>
      <c r="DB35" s="455">
        <v>2</v>
      </c>
      <c r="DC35" s="405" t="s">
        <v>388</v>
      </c>
      <c r="DE35" s="459" t="s">
        <v>399</v>
      </c>
      <c r="DF35" s="435"/>
      <c r="DG35" s="435"/>
      <c r="DH35" s="466"/>
      <c r="DJ35" s="424"/>
      <c r="DK35" s="424"/>
      <c r="DL35" s="445"/>
      <c r="DM35" s="419"/>
      <c r="DS35" s="492"/>
      <c r="DT35" s="444"/>
      <c r="DV35" s="423" t="s">
        <v>365</v>
      </c>
      <c r="EJ35" s="445"/>
      <c r="EK35" s="493"/>
      <c r="EM35" s="418"/>
      <c r="EO35" s="444"/>
      <c r="EP35" s="455">
        <v>2</v>
      </c>
      <c r="EQ35" s="405" t="s">
        <v>388</v>
      </c>
      <c r="ES35" s="459" t="s">
        <v>399</v>
      </c>
      <c r="ET35" s="435"/>
      <c r="EU35" s="435"/>
      <c r="EV35" s="466"/>
      <c r="EX35" s="424"/>
      <c r="EY35" s="424"/>
      <c r="EZ35" s="445"/>
      <c r="FA35" s="419"/>
      <c r="FG35" s="492"/>
      <c r="FH35" s="444"/>
      <c r="FJ35" s="423" t="s">
        <v>365</v>
      </c>
      <c r="FX35" s="445"/>
      <c r="FY35" s="493"/>
      <c r="GA35" s="418"/>
      <c r="GC35" s="444"/>
      <c r="GD35" s="455">
        <v>2</v>
      </c>
      <c r="GE35" s="405" t="s">
        <v>388</v>
      </c>
      <c r="GG35" s="459" t="s">
        <v>399</v>
      </c>
      <c r="GH35" s="435"/>
      <c r="GI35" s="435"/>
      <c r="GJ35" s="466"/>
      <c r="GL35" s="424"/>
      <c r="GM35" s="424"/>
      <c r="GN35" s="445"/>
      <c r="GO35" s="419"/>
    </row>
    <row r="36" spans="3:197" ht="21" customHeight="1" x14ac:dyDescent="0.25">
      <c r="C36" s="492"/>
      <c r="D36" s="444"/>
      <c r="T36" s="445"/>
      <c r="U36" s="493"/>
      <c r="W36" s="418"/>
      <c r="Y36" s="444"/>
      <c r="Z36" s="455">
        <v>3</v>
      </c>
      <c r="AA36" s="405" t="s">
        <v>391</v>
      </c>
      <c r="AC36" s="459" t="s">
        <v>400</v>
      </c>
      <c r="AD36" s="435"/>
      <c r="AE36" s="435"/>
      <c r="AF36" s="466"/>
      <c r="AH36" s="436"/>
      <c r="AI36" s="436"/>
      <c r="AJ36" s="445"/>
      <c r="AK36" s="419"/>
      <c r="AQ36" s="492"/>
      <c r="AR36" s="446"/>
      <c r="AS36" s="447"/>
      <c r="AT36" s="447"/>
      <c r="AU36" s="447"/>
      <c r="AV36" s="447"/>
      <c r="AW36" s="447"/>
      <c r="AX36" s="447"/>
      <c r="AY36" s="447"/>
      <c r="AZ36" s="447"/>
      <c r="BA36" s="447"/>
      <c r="BB36" s="447"/>
      <c r="BC36" s="447"/>
      <c r="BD36" s="447"/>
      <c r="BE36" s="447"/>
      <c r="BF36" s="447"/>
      <c r="BG36" s="447"/>
      <c r="BH36" s="449"/>
      <c r="BI36" s="493"/>
      <c r="BK36" s="418"/>
      <c r="BM36" s="444"/>
      <c r="BN36" s="455">
        <v>3</v>
      </c>
      <c r="BO36" s="405" t="s">
        <v>391</v>
      </c>
      <c r="BQ36" s="459" t="s">
        <v>400</v>
      </c>
      <c r="BR36" s="435"/>
      <c r="BS36" s="435"/>
      <c r="BT36" s="466"/>
      <c r="BV36" s="436"/>
      <c r="BW36" s="436"/>
      <c r="BX36" s="445"/>
      <c r="BY36" s="419"/>
      <c r="CE36" s="492"/>
      <c r="CF36" s="444"/>
      <c r="CV36" s="445"/>
      <c r="CW36" s="493"/>
      <c r="CY36" s="418"/>
      <c r="DA36" s="444"/>
      <c r="DB36" s="455">
        <v>3</v>
      </c>
      <c r="DC36" s="405" t="s">
        <v>391</v>
      </c>
      <c r="DE36" s="459" t="s">
        <v>400</v>
      </c>
      <c r="DF36" s="435"/>
      <c r="DG36" s="435"/>
      <c r="DH36" s="466"/>
      <c r="DJ36" s="436"/>
      <c r="DK36" s="436"/>
      <c r="DL36" s="445"/>
      <c r="DM36" s="419"/>
      <c r="DS36" s="492"/>
      <c r="DT36" s="444"/>
      <c r="EJ36" s="445"/>
      <c r="EK36" s="493"/>
      <c r="EM36" s="418"/>
      <c r="EO36" s="444"/>
      <c r="EP36" s="455">
        <v>3</v>
      </c>
      <c r="EQ36" s="405" t="s">
        <v>391</v>
      </c>
      <c r="ES36" s="459" t="s">
        <v>400</v>
      </c>
      <c r="ET36" s="435"/>
      <c r="EU36" s="435"/>
      <c r="EV36" s="466"/>
      <c r="EX36" s="436"/>
      <c r="EY36" s="436"/>
      <c r="EZ36" s="445"/>
      <c r="FA36" s="419"/>
      <c r="FG36" s="492"/>
      <c r="FH36" s="444"/>
      <c r="FX36" s="445"/>
      <c r="FY36" s="493"/>
      <c r="GA36" s="418"/>
      <c r="GC36" s="444"/>
      <c r="GD36" s="455">
        <v>3</v>
      </c>
      <c r="GE36" s="405" t="s">
        <v>391</v>
      </c>
      <c r="GG36" s="459" t="s">
        <v>400</v>
      </c>
      <c r="GH36" s="435"/>
      <c r="GI36" s="435"/>
      <c r="GJ36" s="466"/>
      <c r="GL36" s="436"/>
      <c r="GM36" s="436"/>
      <c r="GN36" s="445"/>
      <c r="GO36" s="419"/>
    </row>
    <row r="37" spans="3:197" x14ac:dyDescent="0.25">
      <c r="C37" s="492"/>
      <c r="D37" s="446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9"/>
      <c r="U37" s="493"/>
      <c r="W37" s="418"/>
      <c r="Y37" s="444"/>
      <c r="Z37" s="456">
        <v>4</v>
      </c>
      <c r="AA37" s="457" t="s">
        <v>401</v>
      </c>
      <c r="AB37" s="447"/>
      <c r="AC37" s="461" t="s">
        <v>402</v>
      </c>
      <c r="AD37" s="467"/>
      <c r="AE37" s="467"/>
      <c r="AF37" s="468"/>
      <c r="AH37" s="436"/>
      <c r="AI37" s="436"/>
      <c r="AJ37" s="445"/>
      <c r="AK37" s="419"/>
      <c r="AQ37" s="492"/>
      <c r="BI37" s="493"/>
      <c r="BK37" s="418"/>
      <c r="BM37" s="444"/>
      <c r="BN37" s="456">
        <v>4</v>
      </c>
      <c r="BO37" s="457" t="s">
        <v>401</v>
      </c>
      <c r="BP37" s="447"/>
      <c r="BQ37" s="461" t="s">
        <v>402</v>
      </c>
      <c r="BR37" s="467"/>
      <c r="BS37" s="467"/>
      <c r="BT37" s="468"/>
      <c r="BV37" s="436"/>
      <c r="BW37" s="436"/>
      <c r="BX37" s="445"/>
      <c r="BY37" s="419"/>
      <c r="CE37" s="492"/>
      <c r="CF37" s="446"/>
      <c r="CG37" s="447"/>
      <c r="CH37" s="447"/>
      <c r="CI37" s="447"/>
      <c r="CJ37" s="447"/>
      <c r="CK37" s="447"/>
      <c r="CL37" s="447"/>
      <c r="CM37" s="447"/>
      <c r="CN37" s="447"/>
      <c r="CO37" s="447"/>
      <c r="CP37" s="447"/>
      <c r="CQ37" s="447"/>
      <c r="CR37" s="447"/>
      <c r="CS37" s="447"/>
      <c r="CT37" s="447"/>
      <c r="CU37" s="447"/>
      <c r="CV37" s="449"/>
      <c r="CW37" s="493"/>
      <c r="CY37" s="418"/>
      <c r="DA37" s="444"/>
      <c r="DB37" s="456">
        <v>4</v>
      </c>
      <c r="DC37" s="457" t="s">
        <v>401</v>
      </c>
      <c r="DD37" s="447"/>
      <c r="DE37" s="461" t="s">
        <v>402</v>
      </c>
      <c r="DF37" s="467"/>
      <c r="DG37" s="467"/>
      <c r="DH37" s="468"/>
      <c r="DJ37" s="436"/>
      <c r="DK37" s="436"/>
      <c r="DL37" s="445"/>
      <c r="DM37" s="419"/>
      <c r="DS37" s="492"/>
      <c r="DT37" s="446"/>
      <c r="DU37" s="447"/>
      <c r="DV37" s="447"/>
      <c r="DW37" s="447"/>
      <c r="DX37" s="447"/>
      <c r="DY37" s="447"/>
      <c r="DZ37" s="447"/>
      <c r="EA37" s="447"/>
      <c r="EB37" s="447"/>
      <c r="EC37" s="447"/>
      <c r="ED37" s="447"/>
      <c r="EE37" s="447"/>
      <c r="EF37" s="447"/>
      <c r="EG37" s="447"/>
      <c r="EH37" s="447"/>
      <c r="EI37" s="447"/>
      <c r="EJ37" s="449"/>
      <c r="EK37" s="493"/>
      <c r="EM37" s="418"/>
      <c r="EO37" s="444"/>
      <c r="EP37" s="456">
        <v>4</v>
      </c>
      <c r="EQ37" s="457" t="s">
        <v>401</v>
      </c>
      <c r="ER37" s="447"/>
      <c r="ES37" s="461" t="s">
        <v>402</v>
      </c>
      <c r="ET37" s="467"/>
      <c r="EU37" s="467"/>
      <c r="EV37" s="468"/>
      <c r="EX37" s="436"/>
      <c r="EY37" s="436"/>
      <c r="EZ37" s="445"/>
      <c r="FA37" s="419"/>
      <c r="FG37" s="492"/>
      <c r="FH37" s="446"/>
      <c r="FI37" s="447"/>
      <c r="FJ37" s="447"/>
      <c r="FK37" s="447"/>
      <c r="FL37" s="447"/>
      <c r="FM37" s="447"/>
      <c r="FN37" s="447"/>
      <c r="FO37" s="447"/>
      <c r="FP37" s="447"/>
      <c r="FQ37" s="447"/>
      <c r="FR37" s="447"/>
      <c r="FS37" s="447"/>
      <c r="FT37" s="447"/>
      <c r="FU37" s="447"/>
      <c r="FV37" s="447"/>
      <c r="FW37" s="447"/>
      <c r="FX37" s="449"/>
      <c r="FY37" s="493"/>
      <c r="GA37" s="418"/>
      <c r="GC37" s="444"/>
      <c r="GD37" s="456">
        <v>4</v>
      </c>
      <c r="GE37" s="457" t="s">
        <v>401</v>
      </c>
      <c r="GF37" s="447"/>
      <c r="GG37" s="461" t="s">
        <v>402</v>
      </c>
      <c r="GH37" s="467"/>
      <c r="GI37" s="467"/>
      <c r="GJ37" s="468"/>
      <c r="GL37" s="436"/>
      <c r="GM37" s="436"/>
      <c r="GN37" s="445"/>
      <c r="GO37" s="419"/>
    </row>
    <row r="38" spans="3:197" x14ac:dyDescent="0.25">
      <c r="C38" s="492"/>
      <c r="U38" s="493"/>
      <c r="W38" s="418"/>
      <c r="Y38" s="444"/>
      <c r="Z38" s="426"/>
      <c r="AA38" s="405"/>
      <c r="AC38" s="437"/>
      <c r="AD38" s="437"/>
      <c r="AE38" s="437"/>
      <c r="AF38" s="437"/>
      <c r="AH38" s="437"/>
      <c r="AI38" s="437"/>
      <c r="AJ38" s="445"/>
      <c r="AK38" s="419"/>
      <c r="AQ38" s="492"/>
      <c r="BI38" s="493"/>
      <c r="BK38" s="418"/>
      <c r="BM38" s="444"/>
      <c r="BN38" s="426"/>
      <c r="BO38" s="405"/>
      <c r="BQ38" s="437"/>
      <c r="BR38" s="437"/>
      <c r="BS38" s="437"/>
      <c r="BT38" s="437"/>
      <c r="BV38" s="437"/>
      <c r="BW38" s="437"/>
      <c r="BX38" s="445"/>
      <c r="BY38" s="419"/>
      <c r="CE38" s="492"/>
      <c r="CW38" s="493"/>
      <c r="CY38" s="418"/>
      <c r="DA38" s="444"/>
      <c r="DB38" s="426"/>
      <c r="DC38" s="405"/>
      <c r="DE38" s="437"/>
      <c r="DF38" s="437"/>
      <c r="DG38" s="437"/>
      <c r="DH38" s="437"/>
      <c r="DJ38" s="437"/>
      <c r="DK38" s="437"/>
      <c r="DL38" s="445"/>
      <c r="DM38" s="419"/>
      <c r="DS38" s="492"/>
      <c r="EK38" s="493"/>
      <c r="EM38" s="418"/>
      <c r="EO38" s="444"/>
      <c r="EP38" s="426"/>
      <c r="EQ38" s="405"/>
      <c r="ES38" s="437"/>
      <c r="ET38" s="437"/>
      <c r="EU38" s="437"/>
      <c r="EV38" s="437"/>
      <c r="EX38" s="437"/>
      <c r="EY38" s="437"/>
      <c r="EZ38" s="445"/>
      <c r="FA38" s="419"/>
      <c r="FG38" s="492"/>
      <c r="FY38" s="493"/>
      <c r="GA38" s="418"/>
      <c r="GC38" s="444"/>
      <c r="GD38" s="426"/>
      <c r="GE38" s="405"/>
      <c r="GG38" s="437"/>
      <c r="GH38" s="437"/>
      <c r="GI38" s="437"/>
      <c r="GJ38" s="437"/>
      <c r="GL38" s="437"/>
      <c r="GM38" s="437"/>
      <c r="GN38" s="445"/>
      <c r="GO38" s="419"/>
    </row>
    <row r="39" spans="3:197" x14ac:dyDescent="0.25">
      <c r="C39" s="492"/>
      <c r="U39" s="493"/>
      <c r="W39" s="418"/>
      <c r="Y39" s="444"/>
      <c r="AH39" s="437"/>
      <c r="AI39" s="437"/>
      <c r="AJ39" s="445"/>
      <c r="AK39" s="419"/>
      <c r="AQ39" s="492"/>
      <c r="BI39" s="493"/>
      <c r="BK39" s="418"/>
      <c r="BM39" s="444"/>
      <c r="BV39" s="437"/>
      <c r="BW39" s="437"/>
      <c r="BX39" s="445"/>
      <c r="BY39" s="419"/>
      <c r="CE39" s="492"/>
      <c r="CW39" s="493"/>
      <c r="CY39" s="418"/>
      <c r="DA39" s="444"/>
      <c r="DJ39" s="437"/>
      <c r="DK39" s="437"/>
      <c r="DL39" s="445"/>
      <c r="DM39" s="419"/>
      <c r="DS39" s="492"/>
      <c r="EK39" s="493"/>
      <c r="EM39" s="418"/>
      <c r="EO39" s="444"/>
      <c r="EX39" s="437"/>
      <c r="EY39" s="437"/>
      <c r="EZ39" s="445"/>
      <c r="FA39" s="419"/>
      <c r="FG39" s="492"/>
      <c r="FY39" s="493"/>
      <c r="GA39" s="418"/>
      <c r="GC39" s="444"/>
      <c r="GL39" s="437"/>
      <c r="GM39" s="437"/>
      <c r="GN39" s="445"/>
      <c r="GO39" s="419"/>
    </row>
    <row r="40" spans="3:197" ht="8.25" customHeight="1" x14ac:dyDescent="0.25">
      <c r="C40" s="492"/>
      <c r="U40" s="493"/>
      <c r="W40" s="418"/>
      <c r="Y40" s="446"/>
      <c r="Z40" s="447"/>
      <c r="AA40" s="447"/>
      <c r="AB40" s="447"/>
      <c r="AC40" s="447"/>
      <c r="AD40" s="447"/>
      <c r="AE40" s="447"/>
      <c r="AF40" s="447"/>
      <c r="AG40" s="447"/>
      <c r="AH40" s="448"/>
      <c r="AI40" s="448"/>
      <c r="AJ40" s="449"/>
      <c r="AK40" s="419"/>
      <c r="AQ40" s="492"/>
      <c r="BI40" s="493"/>
      <c r="BK40" s="418"/>
      <c r="BM40" s="446"/>
      <c r="BN40" s="447"/>
      <c r="BO40" s="447"/>
      <c r="BP40" s="447"/>
      <c r="BQ40" s="447"/>
      <c r="BR40" s="447"/>
      <c r="BS40" s="447"/>
      <c r="BT40" s="447"/>
      <c r="BU40" s="447"/>
      <c r="BV40" s="448"/>
      <c r="BW40" s="448"/>
      <c r="BX40" s="449"/>
      <c r="BY40" s="419"/>
      <c r="CE40" s="492"/>
      <c r="CW40" s="493"/>
      <c r="CY40" s="418"/>
      <c r="DA40" s="446"/>
      <c r="DB40" s="447"/>
      <c r="DC40" s="447"/>
      <c r="DD40" s="447"/>
      <c r="DE40" s="447"/>
      <c r="DF40" s="447"/>
      <c r="DG40" s="447"/>
      <c r="DH40" s="447"/>
      <c r="DI40" s="447"/>
      <c r="DJ40" s="448"/>
      <c r="DK40" s="448"/>
      <c r="DL40" s="449"/>
      <c r="DM40" s="419"/>
      <c r="DS40" s="492"/>
      <c r="EK40" s="493"/>
      <c r="EM40" s="418"/>
      <c r="EO40" s="446"/>
      <c r="EP40" s="447"/>
      <c r="EQ40" s="447"/>
      <c r="ER40" s="447"/>
      <c r="ES40" s="447"/>
      <c r="ET40" s="447"/>
      <c r="EU40" s="447"/>
      <c r="EV40" s="447"/>
      <c r="EW40" s="447"/>
      <c r="EX40" s="448"/>
      <c r="EY40" s="448"/>
      <c r="EZ40" s="449"/>
      <c r="FA40" s="419"/>
      <c r="FG40" s="492"/>
      <c r="FY40" s="493"/>
      <c r="GA40" s="418"/>
      <c r="GC40" s="446"/>
      <c r="GD40" s="447"/>
      <c r="GE40" s="447"/>
      <c r="GF40" s="447"/>
      <c r="GG40" s="447"/>
      <c r="GH40" s="447"/>
      <c r="GI40" s="447"/>
      <c r="GJ40" s="447"/>
      <c r="GK40" s="447"/>
      <c r="GL40" s="448"/>
      <c r="GM40" s="448"/>
      <c r="GN40" s="449"/>
      <c r="GO40" s="419"/>
    </row>
    <row r="41" spans="3:197" x14ac:dyDescent="0.25">
      <c r="C41" s="496"/>
      <c r="D41" s="497"/>
      <c r="E41" s="497"/>
      <c r="F41" s="497"/>
      <c r="G41" s="497"/>
      <c r="H41" s="497"/>
      <c r="I41" s="497"/>
      <c r="J41" s="497"/>
      <c r="K41" s="497"/>
      <c r="L41" s="497"/>
      <c r="M41" s="497"/>
      <c r="N41" s="497"/>
      <c r="O41" s="497"/>
      <c r="P41" s="497"/>
      <c r="Q41" s="497"/>
      <c r="R41" s="497"/>
      <c r="S41" s="497"/>
      <c r="T41" s="497"/>
      <c r="U41" s="498"/>
      <c r="W41" s="420"/>
      <c r="X41" s="421"/>
      <c r="Y41" s="421"/>
      <c r="Z41" s="438"/>
      <c r="AA41" s="439"/>
      <c r="AB41" s="421"/>
      <c r="AC41" s="440"/>
      <c r="AD41" s="440"/>
      <c r="AE41" s="421"/>
      <c r="AF41" s="421"/>
      <c r="AG41" s="421"/>
      <c r="AH41" s="421"/>
      <c r="AI41" s="421"/>
      <c r="AJ41" s="421"/>
      <c r="AK41" s="422"/>
      <c r="AQ41" s="496"/>
      <c r="AR41" s="497"/>
      <c r="AS41" s="497"/>
      <c r="AT41" s="497"/>
      <c r="AU41" s="497"/>
      <c r="AV41" s="497"/>
      <c r="AW41" s="497"/>
      <c r="AX41" s="497"/>
      <c r="AY41" s="497"/>
      <c r="AZ41" s="497"/>
      <c r="BA41" s="497"/>
      <c r="BB41" s="497"/>
      <c r="BC41" s="497"/>
      <c r="BD41" s="497"/>
      <c r="BE41" s="497"/>
      <c r="BF41" s="497"/>
      <c r="BG41" s="497"/>
      <c r="BH41" s="497"/>
      <c r="BI41" s="498"/>
      <c r="BK41" s="420"/>
      <c r="BL41" s="421"/>
      <c r="BM41" s="421"/>
      <c r="BN41" s="438"/>
      <c r="BO41" s="439"/>
      <c r="BP41" s="421"/>
      <c r="BQ41" s="440"/>
      <c r="BR41" s="440"/>
      <c r="BS41" s="421"/>
      <c r="BT41" s="421"/>
      <c r="BU41" s="421"/>
      <c r="BV41" s="421"/>
      <c r="BW41" s="421"/>
      <c r="BX41" s="421"/>
      <c r="BY41" s="422"/>
      <c r="CE41" s="496"/>
      <c r="CF41" s="497"/>
      <c r="CG41" s="497"/>
      <c r="CH41" s="497"/>
      <c r="CI41" s="497"/>
      <c r="CJ41" s="497"/>
      <c r="CK41" s="497"/>
      <c r="CL41" s="497"/>
      <c r="CM41" s="497"/>
      <c r="CN41" s="497"/>
      <c r="CO41" s="497"/>
      <c r="CP41" s="497"/>
      <c r="CQ41" s="497"/>
      <c r="CR41" s="497"/>
      <c r="CS41" s="497"/>
      <c r="CT41" s="497"/>
      <c r="CU41" s="497"/>
      <c r="CV41" s="497"/>
      <c r="CW41" s="498"/>
      <c r="CY41" s="420"/>
      <c r="CZ41" s="421"/>
      <c r="DA41" s="421"/>
      <c r="DB41" s="438"/>
      <c r="DC41" s="439"/>
      <c r="DD41" s="421"/>
      <c r="DE41" s="440"/>
      <c r="DF41" s="440"/>
      <c r="DG41" s="421"/>
      <c r="DH41" s="421"/>
      <c r="DI41" s="421"/>
      <c r="DJ41" s="421"/>
      <c r="DK41" s="421"/>
      <c r="DL41" s="421"/>
      <c r="DM41" s="422"/>
      <c r="DS41" s="496"/>
      <c r="DT41" s="497"/>
      <c r="DU41" s="497"/>
      <c r="DV41" s="497"/>
      <c r="DW41" s="497"/>
      <c r="DX41" s="497"/>
      <c r="DY41" s="497"/>
      <c r="DZ41" s="497"/>
      <c r="EA41" s="497"/>
      <c r="EB41" s="497"/>
      <c r="EC41" s="497"/>
      <c r="ED41" s="497"/>
      <c r="EE41" s="497"/>
      <c r="EF41" s="497"/>
      <c r="EG41" s="497"/>
      <c r="EH41" s="497"/>
      <c r="EI41" s="497"/>
      <c r="EJ41" s="497"/>
      <c r="EK41" s="498"/>
      <c r="EM41" s="420"/>
      <c r="EN41" s="421"/>
      <c r="EO41" s="421"/>
      <c r="EP41" s="438"/>
      <c r="EQ41" s="439"/>
      <c r="ER41" s="421"/>
      <c r="ES41" s="440"/>
      <c r="ET41" s="440"/>
      <c r="EU41" s="421"/>
      <c r="EV41" s="421"/>
      <c r="EW41" s="421"/>
      <c r="EX41" s="421"/>
      <c r="EY41" s="421"/>
      <c r="EZ41" s="421"/>
      <c r="FA41" s="422"/>
      <c r="FG41" s="496"/>
      <c r="FH41" s="497"/>
      <c r="FI41" s="497"/>
      <c r="FJ41" s="497"/>
      <c r="FK41" s="497"/>
      <c r="FL41" s="497"/>
      <c r="FM41" s="497"/>
      <c r="FN41" s="497"/>
      <c r="FO41" s="497"/>
      <c r="FP41" s="497"/>
      <c r="FQ41" s="497"/>
      <c r="FR41" s="497"/>
      <c r="FS41" s="497"/>
      <c r="FT41" s="497"/>
      <c r="FU41" s="497"/>
      <c r="FV41" s="497"/>
      <c r="FW41" s="497"/>
      <c r="FX41" s="497"/>
      <c r="FY41" s="498"/>
      <c r="GA41" s="420"/>
      <c r="GB41" s="421"/>
      <c r="GC41" s="421"/>
      <c r="GD41" s="438"/>
      <c r="GE41" s="439"/>
      <c r="GF41" s="421"/>
      <c r="GG41" s="440"/>
      <c r="GH41" s="440"/>
      <c r="GI41" s="421"/>
      <c r="GJ41" s="421"/>
      <c r="GK41" s="421"/>
      <c r="GL41" s="421"/>
      <c r="GM41" s="421"/>
      <c r="GN41" s="421"/>
      <c r="GO41" s="422"/>
    </row>
    <row r="42" spans="3:197" x14ac:dyDescent="0.25">
      <c r="Z42" s="426"/>
      <c r="AA42" s="405"/>
      <c r="AC42" s="38"/>
      <c r="AD42" s="38"/>
      <c r="BN42" s="426"/>
      <c r="BO42" s="405"/>
      <c r="BQ42" s="38"/>
      <c r="BR42" s="38"/>
      <c r="DB42" s="426"/>
      <c r="DC42" s="405"/>
      <c r="DE42" s="38"/>
      <c r="DF42" s="38"/>
      <c r="EP42" s="426"/>
      <c r="EQ42" s="405"/>
      <c r="ES42" s="38"/>
      <c r="ET42" s="38"/>
      <c r="GD42" s="426"/>
      <c r="GE42" s="405"/>
      <c r="GG42" s="38"/>
      <c r="GH42" s="38"/>
    </row>
    <row r="43" spans="3:197" x14ac:dyDescent="0.25">
      <c r="Z43" s="426"/>
      <c r="AA43" s="405"/>
      <c r="AC43" s="38"/>
      <c r="AD43" s="38"/>
      <c r="BN43" s="426"/>
      <c r="BO43" s="405"/>
      <c r="BQ43" s="38"/>
      <c r="BR43" s="38"/>
      <c r="DB43" s="426"/>
      <c r="DC43" s="405"/>
      <c r="DE43" s="38"/>
      <c r="DF43" s="38"/>
      <c r="EP43" s="426"/>
      <c r="EQ43" s="405"/>
      <c r="ES43" s="38"/>
      <c r="ET43" s="38"/>
      <c r="GD43" s="426"/>
      <c r="GE43" s="405"/>
      <c r="GG43" s="38"/>
      <c r="GH43" s="38"/>
    </row>
    <row r="48" spans="3:197" ht="32.25" customHeight="1" x14ac:dyDescent="0.25">
      <c r="W48" s="257"/>
      <c r="X48" s="257"/>
      <c r="Y48" s="257"/>
      <c r="Z48" s="258"/>
      <c r="AA48" s="259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BK48" s="257"/>
      <c r="BL48" s="257"/>
      <c r="BM48" s="257"/>
      <c r="BN48" s="258"/>
      <c r="BO48" s="259"/>
      <c r="BP48" s="257"/>
      <c r="BQ48" s="257"/>
      <c r="BR48" s="257"/>
      <c r="BS48" s="257"/>
      <c r="BT48" s="257"/>
      <c r="BU48" s="257"/>
      <c r="BV48" s="257"/>
      <c r="BW48" s="257"/>
      <c r="BX48" s="257"/>
      <c r="BY48" s="257"/>
      <c r="CY48" s="257"/>
      <c r="CZ48" s="257"/>
      <c r="DA48" s="257"/>
      <c r="DB48" s="258"/>
      <c r="DC48" s="259"/>
      <c r="DD48" s="257"/>
      <c r="DE48" s="257"/>
      <c r="DF48" s="257"/>
      <c r="DG48" s="257"/>
      <c r="DH48" s="257"/>
      <c r="DI48" s="257"/>
      <c r="DJ48" s="257"/>
      <c r="DK48" s="257"/>
      <c r="DL48" s="257"/>
      <c r="DM48" s="257"/>
      <c r="EM48" s="257"/>
      <c r="EN48" s="257"/>
      <c r="EO48" s="257"/>
      <c r="EP48" s="258"/>
      <c r="EQ48" s="259"/>
      <c r="ER48" s="257"/>
      <c r="ES48" s="257"/>
      <c r="ET48" s="257"/>
      <c r="EU48" s="257"/>
      <c r="EV48" s="257"/>
      <c r="EW48" s="257"/>
      <c r="EX48" s="257"/>
      <c r="EY48" s="257"/>
      <c r="EZ48" s="257"/>
      <c r="FA48" s="257"/>
      <c r="GA48" s="257"/>
      <c r="GB48" s="257"/>
      <c r="GC48" s="257"/>
      <c r="GD48" s="258"/>
      <c r="GE48" s="259"/>
      <c r="GF48" s="257"/>
      <c r="GG48" s="257"/>
      <c r="GH48" s="257"/>
      <c r="GI48" s="257"/>
      <c r="GJ48" s="257"/>
      <c r="GK48" s="257"/>
      <c r="GL48" s="257"/>
      <c r="GM48" s="257"/>
      <c r="GN48" s="257"/>
      <c r="GO48" s="257"/>
    </row>
    <row r="52" spans="23:197" ht="20.25" customHeight="1" x14ac:dyDescent="0.25">
      <c r="W52" s="488"/>
      <c r="X52" s="489" t="s">
        <v>403</v>
      </c>
      <c r="Y52" s="490"/>
      <c r="Z52" s="490"/>
      <c r="AA52" s="490"/>
      <c r="AB52" s="490"/>
      <c r="AC52" s="490"/>
      <c r="AD52" s="490"/>
      <c r="AE52" s="490"/>
      <c r="AF52" s="490"/>
      <c r="AG52" s="490"/>
      <c r="AH52" s="490"/>
      <c r="AI52" s="490"/>
      <c r="AJ52" s="490"/>
      <c r="AK52" s="491"/>
      <c r="BK52" s="488"/>
      <c r="BL52" s="489" t="s">
        <v>403</v>
      </c>
      <c r="BM52" s="490"/>
      <c r="BN52" s="490"/>
      <c r="BO52" s="490"/>
      <c r="BP52" s="490"/>
      <c r="BQ52" s="490"/>
      <c r="BR52" s="490"/>
      <c r="BS52" s="490"/>
      <c r="BT52" s="490"/>
      <c r="BU52" s="490"/>
      <c r="BV52" s="490"/>
      <c r="BW52" s="490"/>
      <c r="BX52" s="490"/>
      <c r="BY52" s="491"/>
      <c r="CY52" s="488"/>
      <c r="CZ52" s="489" t="s">
        <v>403</v>
      </c>
      <c r="DA52" s="490"/>
      <c r="DB52" s="490"/>
      <c r="DC52" s="490"/>
      <c r="DD52" s="490"/>
      <c r="DE52" s="490"/>
      <c r="DF52" s="490"/>
      <c r="DG52" s="490"/>
      <c r="DH52" s="490"/>
      <c r="DI52" s="490"/>
      <c r="DJ52" s="490"/>
      <c r="DK52" s="490"/>
      <c r="DL52" s="490"/>
      <c r="DM52" s="491"/>
      <c r="EM52" s="488"/>
      <c r="EN52" s="489" t="s">
        <v>403</v>
      </c>
      <c r="EO52" s="490"/>
      <c r="EP52" s="490"/>
      <c r="EQ52" s="490"/>
      <c r="ER52" s="490"/>
      <c r="ES52" s="490"/>
      <c r="ET52" s="490"/>
      <c r="EU52" s="490"/>
      <c r="EV52" s="490"/>
      <c r="EW52" s="490"/>
      <c r="EX52" s="490"/>
      <c r="EY52" s="490"/>
      <c r="EZ52" s="490"/>
      <c r="FA52" s="491"/>
      <c r="GA52" s="488"/>
      <c r="GB52" s="489" t="s">
        <v>403</v>
      </c>
      <c r="GC52" s="490"/>
      <c r="GD52" s="490"/>
      <c r="GE52" s="490"/>
      <c r="GF52" s="490"/>
      <c r="GG52" s="490"/>
      <c r="GH52" s="490"/>
      <c r="GI52" s="490"/>
      <c r="GJ52" s="490"/>
      <c r="GK52" s="490"/>
      <c r="GL52" s="490"/>
      <c r="GM52" s="490"/>
      <c r="GN52" s="490"/>
      <c r="GO52" s="491"/>
    </row>
    <row r="53" spans="23:197" x14ac:dyDescent="0.25">
      <c r="W53" s="492"/>
      <c r="AK53" s="493"/>
      <c r="BK53" s="492"/>
      <c r="BY53" s="493"/>
      <c r="CY53" s="492"/>
      <c r="DM53" s="493"/>
      <c r="EM53" s="492"/>
      <c r="FA53" s="493"/>
      <c r="GA53" s="492"/>
      <c r="GO53" s="493"/>
    </row>
    <row r="54" spans="23:197" ht="17.25" customHeight="1" x14ac:dyDescent="0.25">
      <c r="W54" s="492"/>
      <c r="AK54" s="493"/>
      <c r="BK54" s="492"/>
      <c r="BY54" s="493"/>
      <c r="CY54" s="492"/>
      <c r="DM54" s="493"/>
      <c r="EM54" s="492"/>
      <c r="FA54" s="493"/>
      <c r="GA54" s="492"/>
      <c r="GO54" s="493"/>
    </row>
    <row r="55" spans="23:197" x14ac:dyDescent="0.25">
      <c r="W55" s="492"/>
      <c r="Y55" s="441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3"/>
      <c r="AK55" s="493"/>
      <c r="BK55" s="492"/>
      <c r="BM55" s="441"/>
      <c r="BN55" s="442"/>
      <c r="BO55" s="442"/>
      <c r="BP55" s="442"/>
      <c r="BQ55" s="442"/>
      <c r="BR55" s="442"/>
      <c r="BS55" s="442"/>
      <c r="BT55" s="442"/>
      <c r="BU55" s="442"/>
      <c r="BV55" s="442"/>
      <c r="BW55" s="442"/>
      <c r="BX55" s="443"/>
      <c r="BY55" s="493"/>
      <c r="CY55" s="492"/>
      <c r="DA55" s="441"/>
      <c r="DB55" s="442"/>
      <c r="DC55" s="442"/>
      <c r="DD55" s="442"/>
      <c r="DE55" s="442"/>
      <c r="DF55" s="442"/>
      <c r="DG55" s="442"/>
      <c r="DH55" s="442"/>
      <c r="DI55" s="442"/>
      <c r="DJ55" s="442"/>
      <c r="DK55" s="442"/>
      <c r="DL55" s="443"/>
      <c r="DM55" s="493"/>
      <c r="EM55" s="492"/>
      <c r="EO55" s="441"/>
      <c r="EP55" s="442"/>
      <c r="EQ55" s="442"/>
      <c r="ER55" s="442"/>
      <c r="ES55" s="442"/>
      <c r="ET55" s="442"/>
      <c r="EU55" s="442"/>
      <c r="EV55" s="442"/>
      <c r="EW55" s="442"/>
      <c r="EX55" s="442"/>
      <c r="EY55" s="442"/>
      <c r="EZ55" s="443"/>
      <c r="FA55" s="493"/>
      <c r="GA55" s="492"/>
      <c r="GC55" s="441"/>
      <c r="GD55" s="442"/>
      <c r="GE55" s="442"/>
      <c r="GF55" s="442"/>
      <c r="GG55" s="442"/>
      <c r="GH55" s="442"/>
      <c r="GI55" s="442"/>
      <c r="GJ55" s="442"/>
      <c r="GK55" s="442"/>
      <c r="GL55" s="442"/>
      <c r="GM55" s="442"/>
      <c r="GN55" s="443"/>
      <c r="GO55" s="493"/>
    </row>
    <row r="56" spans="23:197" ht="17.25" x14ac:dyDescent="0.3">
      <c r="W56" s="492"/>
      <c r="Y56" s="444"/>
      <c r="Z56" s="472" t="s">
        <v>404</v>
      </c>
      <c r="AA56" s="473" t="s">
        <v>405</v>
      </c>
      <c r="AJ56" s="445"/>
      <c r="AK56" s="493"/>
      <c r="BK56" s="492"/>
      <c r="BM56" s="444"/>
      <c r="BN56" s="472" t="s">
        <v>404</v>
      </c>
      <c r="BO56" s="473" t="s">
        <v>405</v>
      </c>
      <c r="BX56" s="445"/>
      <c r="BY56" s="493"/>
      <c r="CY56" s="492"/>
      <c r="DA56" s="444"/>
      <c r="DB56" s="472" t="s">
        <v>404</v>
      </c>
      <c r="DC56" s="473" t="s">
        <v>405</v>
      </c>
      <c r="DL56" s="445"/>
      <c r="DM56" s="493"/>
      <c r="EM56" s="492"/>
      <c r="EO56" s="444"/>
      <c r="EP56" s="472" t="s">
        <v>404</v>
      </c>
      <c r="EQ56" s="473" t="s">
        <v>405</v>
      </c>
      <c r="EZ56" s="445"/>
      <c r="FA56" s="493"/>
      <c r="GA56" s="492"/>
      <c r="GC56" s="444"/>
      <c r="GD56" s="472" t="s">
        <v>404</v>
      </c>
      <c r="GE56" s="473" t="s">
        <v>405</v>
      </c>
      <c r="GN56" s="445"/>
      <c r="GO56" s="493"/>
    </row>
    <row r="57" spans="23:197" x14ac:dyDescent="0.25">
      <c r="W57" s="492"/>
      <c r="Y57" s="444"/>
      <c r="Z57" s="274" t="s">
        <v>362</v>
      </c>
      <c r="AA57" s="451" t="s">
        <v>363</v>
      </c>
      <c r="AJ57" s="445"/>
      <c r="AK57" s="493"/>
      <c r="BK57" s="492"/>
      <c r="BM57" s="444"/>
      <c r="BN57" s="274" t="s">
        <v>362</v>
      </c>
      <c r="BO57" s="451" t="s">
        <v>363</v>
      </c>
      <c r="BX57" s="445"/>
      <c r="BY57" s="493"/>
      <c r="CY57" s="492"/>
      <c r="DA57" s="444"/>
      <c r="DB57" s="274" t="s">
        <v>362</v>
      </c>
      <c r="DC57" s="451" t="s">
        <v>364</v>
      </c>
      <c r="DL57" s="445"/>
      <c r="DM57" s="493"/>
      <c r="EM57" s="492"/>
      <c r="EO57" s="444"/>
      <c r="EP57" s="274" t="s">
        <v>362</v>
      </c>
      <c r="EQ57" s="451" t="s">
        <v>364</v>
      </c>
      <c r="EZ57" s="445"/>
      <c r="FA57" s="493"/>
      <c r="GA57" s="492"/>
      <c r="GC57" s="444"/>
      <c r="GD57" s="274" t="s">
        <v>362</v>
      </c>
      <c r="GE57" s="451" t="s">
        <v>364</v>
      </c>
      <c r="GN57" s="445"/>
      <c r="GO57" s="493"/>
    </row>
    <row r="58" spans="23:197" x14ac:dyDescent="0.25">
      <c r="W58" s="492"/>
      <c r="Y58" s="444"/>
      <c r="Z58" s="274" t="s">
        <v>366</v>
      </c>
      <c r="AA58" s="451" t="s">
        <v>367</v>
      </c>
      <c r="AJ58" s="445"/>
      <c r="AK58" s="493"/>
      <c r="BK58" s="492"/>
      <c r="BM58" s="444"/>
      <c r="BN58" s="274" t="s">
        <v>366</v>
      </c>
      <c r="BO58" s="451" t="s">
        <v>368</v>
      </c>
      <c r="BX58" s="445"/>
      <c r="BY58" s="493"/>
      <c r="CY58" s="492"/>
      <c r="DA58" s="444"/>
      <c r="DB58" s="274" t="s">
        <v>366</v>
      </c>
      <c r="DC58" s="451" t="s">
        <v>367</v>
      </c>
      <c r="DL58" s="445"/>
      <c r="DM58" s="493"/>
      <c r="EM58" s="492"/>
      <c r="EO58" s="444"/>
      <c r="EP58" s="274" t="s">
        <v>366</v>
      </c>
      <c r="EQ58" s="451" t="s">
        <v>368</v>
      </c>
      <c r="EZ58" s="445"/>
      <c r="FA58" s="493"/>
      <c r="GA58" s="492"/>
      <c r="GC58" s="444"/>
      <c r="GD58" s="274" t="s">
        <v>366</v>
      </c>
      <c r="GE58" s="451" t="s">
        <v>368</v>
      </c>
      <c r="GN58" s="445"/>
      <c r="GO58" s="493"/>
    </row>
    <row r="59" spans="23:197" x14ac:dyDescent="0.25">
      <c r="W59" s="492"/>
      <c r="Y59" s="444"/>
      <c r="Z59" s="276" t="s">
        <v>315</v>
      </c>
      <c r="AA59" s="452" t="s">
        <v>369</v>
      </c>
      <c r="AJ59" s="445"/>
      <c r="AK59" s="493"/>
      <c r="BK59" s="492"/>
      <c r="BM59" s="444"/>
      <c r="BN59" s="276" t="s">
        <v>315</v>
      </c>
      <c r="BO59" s="452" t="s">
        <v>369</v>
      </c>
      <c r="BX59" s="445"/>
      <c r="BY59" s="493"/>
      <c r="CY59" s="492"/>
      <c r="DA59" s="444"/>
      <c r="DB59" s="276" t="s">
        <v>315</v>
      </c>
      <c r="DC59" s="452" t="s">
        <v>369</v>
      </c>
      <c r="DL59" s="445"/>
      <c r="DM59" s="493"/>
      <c r="EM59" s="492"/>
      <c r="EO59" s="444"/>
      <c r="EP59" s="276" t="s">
        <v>315</v>
      </c>
      <c r="EQ59" s="452" t="s">
        <v>369</v>
      </c>
      <c r="EZ59" s="445"/>
      <c r="FA59" s="493"/>
      <c r="GA59" s="492"/>
      <c r="GC59" s="444"/>
      <c r="GD59" s="276" t="s">
        <v>315</v>
      </c>
      <c r="GE59" s="452" t="s">
        <v>369</v>
      </c>
      <c r="GN59" s="445"/>
      <c r="GO59" s="493"/>
    </row>
    <row r="60" spans="23:197" x14ac:dyDescent="0.25">
      <c r="W60" s="492"/>
      <c r="Y60" s="444"/>
      <c r="AJ60" s="445"/>
      <c r="AK60" s="493"/>
      <c r="BK60" s="492"/>
      <c r="BM60" s="444"/>
      <c r="BX60" s="445"/>
      <c r="BY60" s="493"/>
      <c r="CY60" s="492"/>
      <c r="DA60" s="444"/>
      <c r="DL60" s="445"/>
      <c r="DM60" s="493"/>
      <c r="EM60" s="492"/>
      <c r="EO60" s="444"/>
      <c r="EZ60" s="445"/>
      <c r="FA60" s="493"/>
      <c r="GA60" s="492"/>
      <c r="GC60" s="444"/>
      <c r="GN60" s="445"/>
      <c r="GO60" s="493"/>
    </row>
    <row r="61" spans="23:197" ht="27" customHeight="1" x14ac:dyDescent="0.3">
      <c r="W61" s="492"/>
      <c r="Y61" s="444"/>
      <c r="Z61" s="485" t="s">
        <v>406</v>
      </c>
      <c r="AA61" s="430"/>
      <c r="AB61" s="257"/>
      <c r="AJ61" s="445"/>
      <c r="AK61" s="493"/>
      <c r="BK61" s="492"/>
      <c r="BM61" s="444"/>
      <c r="BN61" s="485" t="s">
        <v>406</v>
      </c>
      <c r="BO61" s="430"/>
      <c r="BP61" s="257"/>
      <c r="BX61" s="445"/>
      <c r="BY61" s="493"/>
      <c r="CY61" s="492"/>
      <c r="DA61" s="444"/>
      <c r="DB61" s="485" t="s">
        <v>406</v>
      </c>
      <c r="DC61" s="430"/>
      <c r="DD61" s="257"/>
      <c r="DL61" s="445"/>
      <c r="DM61" s="493"/>
      <c r="EM61" s="492"/>
      <c r="EO61" s="444"/>
      <c r="EP61" s="485" t="s">
        <v>406</v>
      </c>
      <c r="EQ61" s="430"/>
      <c r="ER61" s="257"/>
      <c r="EZ61" s="445"/>
      <c r="FA61" s="493"/>
      <c r="GA61" s="492"/>
      <c r="GC61" s="444"/>
      <c r="GD61" s="485" t="s">
        <v>406</v>
      </c>
      <c r="GE61" s="430"/>
      <c r="GF61" s="257"/>
      <c r="GN61" s="445"/>
      <c r="GO61" s="493"/>
    </row>
    <row r="62" spans="23:197" x14ac:dyDescent="0.25">
      <c r="W62" s="492"/>
      <c r="Y62" s="444"/>
      <c r="Z62" s="475" t="s">
        <v>74</v>
      </c>
      <c r="AA62" s="476" t="s">
        <v>407</v>
      </c>
      <c r="AB62" s="476" t="s">
        <v>408</v>
      </c>
      <c r="AC62" s="641" t="s">
        <v>380</v>
      </c>
      <c r="AD62" s="642"/>
      <c r="AE62" s="642"/>
      <c r="AF62" s="643"/>
      <c r="AJ62" s="445"/>
      <c r="AK62" s="493"/>
      <c r="BK62" s="492"/>
      <c r="BM62" s="444"/>
      <c r="BN62" s="475" t="s">
        <v>74</v>
      </c>
      <c r="BO62" s="476" t="s">
        <v>407</v>
      </c>
      <c r="BP62" s="476" t="s">
        <v>408</v>
      </c>
      <c r="BQ62" s="641" t="s">
        <v>380</v>
      </c>
      <c r="BR62" s="642"/>
      <c r="BS62" s="642"/>
      <c r="BT62" s="643"/>
      <c r="BX62" s="445"/>
      <c r="BY62" s="493"/>
      <c r="CY62" s="492"/>
      <c r="DA62" s="444"/>
      <c r="DB62" s="475" t="s">
        <v>74</v>
      </c>
      <c r="DC62" s="476" t="s">
        <v>407</v>
      </c>
      <c r="DD62" s="476" t="s">
        <v>408</v>
      </c>
      <c r="DE62" s="641" t="s">
        <v>380</v>
      </c>
      <c r="DF62" s="642"/>
      <c r="DG62" s="642"/>
      <c r="DH62" s="643"/>
      <c r="DL62" s="445"/>
      <c r="DM62" s="493"/>
      <c r="EM62" s="492"/>
      <c r="EO62" s="444"/>
      <c r="EP62" s="475" t="s">
        <v>74</v>
      </c>
      <c r="EQ62" s="476" t="s">
        <v>407</v>
      </c>
      <c r="ER62" s="476" t="s">
        <v>408</v>
      </c>
      <c r="ES62" s="641" t="s">
        <v>380</v>
      </c>
      <c r="ET62" s="642"/>
      <c r="EU62" s="642"/>
      <c r="EV62" s="643"/>
      <c r="EZ62" s="445"/>
      <c r="FA62" s="493"/>
      <c r="GA62" s="492"/>
      <c r="GC62" s="444"/>
      <c r="GD62" s="475" t="s">
        <v>74</v>
      </c>
      <c r="GE62" s="476" t="s">
        <v>407</v>
      </c>
      <c r="GF62" s="476" t="s">
        <v>408</v>
      </c>
      <c r="GG62" s="641" t="s">
        <v>380</v>
      </c>
      <c r="GH62" s="642"/>
      <c r="GI62" s="642"/>
      <c r="GJ62" s="643"/>
      <c r="GN62" s="445"/>
      <c r="GO62" s="493"/>
    </row>
    <row r="63" spans="23:197" ht="18.75" customHeight="1" x14ac:dyDescent="0.25">
      <c r="W63" s="492"/>
      <c r="Y63" s="444"/>
      <c r="Z63" s="455">
        <v>1</v>
      </c>
      <c r="AA63" s="405" t="s">
        <v>409</v>
      </c>
      <c r="AB63" s="405" t="s">
        <v>410</v>
      </c>
      <c r="AC63" s="478"/>
      <c r="AE63" s="405"/>
      <c r="AF63" s="460"/>
      <c r="AJ63" s="445"/>
      <c r="AK63" s="493"/>
      <c r="BK63" s="492"/>
      <c r="BM63" s="444"/>
      <c r="BN63" s="455">
        <v>1</v>
      </c>
      <c r="BO63" s="405" t="s">
        <v>409</v>
      </c>
      <c r="BP63" s="405" t="s">
        <v>410</v>
      </c>
      <c r="BQ63" s="478"/>
      <c r="BS63" s="405"/>
      <c r="BT63" s="460"/>
      <c r="BX63" s="445"/>
      <c r="BY63" s="493"/>
      <c r="CY63" s="492"/>
      <c r="DA63" s="444"/>
      <c r="DB63" s="455">
        <v>1</v>
      </c>
      <c r="DC63" s="405" t="s">
        <v>409</v>
      </c>
      <c r="DD63" s="405" t="s">
        <v>410</v>
      </c>
      <c r="DE63" s="478"/>
      <c r="DG63" s="405"/>
      <c r="DH63" s="460"/>
      <c r="DL63" s="445"/>
      <c r="DM63" s="493"/>
      <c r="EM63" s="492"/>
      <c r="EO63" s="444"/>
      <c r="EP63" s="455">
        <v>1</v>
      </c>
      <c r="EQ63" s="405" t="s">
        <v>409</v>
      </c>
      <c r="ER63" s="405" t="s">
        <v>410</v>
      </c>
      <c r="ES63" s="478"/>
      <c r="EU63" s="405"/>
      <c r="EV63" s="460"/>
      <c r="EZ63" s="445"/>
      <c r="FA63" s="493"/>
      <c r="GA63" s="492"/>
      <c r="GC63" s="444"/>
      <c r="GD63" s="455">
        <v>1</v>
      </c>
      <c r="GE63" s="405" t="s">
        <v>409</v>
      </c>
      <c r="GF63" s="405" t="s">
        <v>410</v>
      </c>
      <c r="GG63" s="478"/>
      <c r="GI63" s="405"/>
      <c r="GJ63" s="460"/>
      <c r="GN63" s="445"/>
      <c r="GO63" s="493"/>
    </row>
    <row r="64" spans="23:197" ht="18.75" customHeight="1" x14ac:dyDescent="0.25">
      <c r="W64" s="492"/>
      <c r="Y64" s="444"/>
      <c r="Z64" s="455">
        <v>2</v>
      </c>
      <c r="AA64" s="405" t="s">
        <v>156</v>
      </c>
      <c r="AB64" s="405" t="s">
        <v>411</v>
      </c>
      <c r="AC64" s="478" t="s">
        <v>412</v>
      </c>
      <c r="AF64" s="479"/>
      <c r="AJ64" s="445"/>
      <c r="AK64" s="494"/>
      <c r="BK64" s="492"/>
      <c r="BM64" s="444"/>
      <c r="BN64" s="455">
        <v>2</v>
      </c>
      <c r="BO64" s="405" t="s">
        <v>156</v>
      </c>
      <c r="BP64" s="405" t="s">
        <v>411</v>
      </c>
      <c r="BQ64" s="478" t="s">
        <v>412</v>
      </c>
      <c r="BT64" s="479"/>
      <c r="BX64" s="445"/>
      <c r="BY64" s="494"/>
      <c r="CY64" s="492"/>
      <c r="DA64" s="444"/>
      <c r="DB64" s="455">
        <v>2</v>
      </c>
      <c r="DC64" s="405" t="s">
        <v>156</v>
      </c>
      <c r="DD64" s="405" t="s">
        <v>411</v>
      </c>
      <c r="DE64" s="478" t="s">
        <v>412</v>
      </c>
      <c r="DH64" s="479"/>
      <c r="DL64" s="445"/>
      <c r="DM64" s="494"/>
      <c r="EM64" s="492"/>
      <c r="EO64" s="444"/>
      <c r="EP64" s="455">
        <v>2</v>
      </c>
      <c r="EQ64" s="405" t="s">
        <v>156</v>
      </c>
      <c r="ER64" s="405" t="s">
        <v>411</v>
      </c>
      <c r="ES64" s="478" t="s">
        <v>412</v>
      </c>
      <c r="EV64" s="479"/>
      <c r="EZ64" s="445"/>
      <c r="FA64" s="494"/>
      <c r="GA64" s="492"/>
      <c r="GC64" s="444"/>
      <c r="GD64" s="455">
        <v>2</v>
      </c>
      <c r="GE64" s="405" t="s">
        <v>156</v>
      </c>
      <c r="GF64" s="405" t="s">
        <v>411</v>
      </c>
      <c r="GG64" s="478" t="s">
        <v>412</v>
      </c>
      <c r="GJ64" s="479"/>
      <c r="GN64" s="445"/>
      <c r="GO64" s="494"/>
    </row>
    <row r="65" spans="23:197" ht="14.25" customHeight="1" x14ac:dyDescent="0.25">
      <c r="W65" s="492"/>
      <c r="Y65" s="444"/>
      <c r="Z65" s="455">
        <v>3</v>
      </c>
      <c r="AA65" s="405" t="s">
        <v>413</v>
      </c>
      <c r="AB65" s="405" t="s">
        <v>411</v>
      </c>
      <c r="AC65" s="480" t="s">
        <v>414</v>
      </c>
      <c r="AF65" s="479"/>
      <c r="AG65" s="470"/>
      <c r="AH65" s="405"/>
      <c r="AJ65" s="445"/>
      <c r="AK65" s="493"/>
      <c r="BK65" s="492"/>
      <c r="BM65" s="444"/>
      <c r="BN65" s="455">
        <v>3</v>
      </c>
      <c r="BO65" s="405" t="s">
        <v>413</v>
      </c>
      <c r="BP65" s="405" t="s">
        <v>411</v>
      </c>
      <c r="BQ65" s="480" t="s">
        <v>414</v>
      </c>
      <c r="BT65" s="479"/>
      <c r="BU65" s="470"/>
      <c r="BV65" s="405"/>
      <c r="BX65" s="445"/>
      <c r="BY65" s="493"/>
      <c r="CY65" s="492"/>
      <c r="DA65" s="444"/>
      <c r="DB65" s="455">
        <v>3</v>
      </c>
      <c r="DC65" s="405" t="s">
        <v>413</v>
      </c>
      <c r="DD65" s="405" t="s">
        <v>411</v>
      </c>
      <c r="DE65" s="480" t="s">
        <v>414</v>
      </c>
      <c r="DH65" s="479"/>
      <c r="DI65" s="470"/>
      <c r="DJ65" s="405"/>
      <c r="DL65" s="445"/>
      <c r="DM65" s="493"/>
      <c r="EM65" s="492"/>
      <c r="EO65" s="444"/>
      <c r="EP65" s="455">
        <v>3</v>
      </c>
      <c r="EQ65" s="405" t="s">
        <v>413</v>
      </c>
      <c r="ER65" s="405" t="s">
        <v>411</v>
      </c>
      <c r="ES65" s="480" t="s">
        <v>414</v>
      </c>
      <c r="EV65" s="479"/>
      <c r="EW65" s="470"/>
      <c r="EX65" s="405"/>
      <c r="EZ65" s="445"/>
      <c r="FA65" s="493"/>
      <c r="GA65" s="492"/>
      <c r="GC65" s="444"/>
      <c r="GD65" s="455">
        <v>3</v>
      </c>
      <c r="GE65" s="405" t="s">
        <v>413</v>
      </c>
      <c r="GF65" s="405" t="s">
        <v>411</v>
      </c>
      <c r="GG65" s="480" t="s">
        <v>414</v>
      </c>
      <c r="GJ65" s="479"/>
      <c r="GK65" s="470"/>
      <c r="GL65" s="405"/>
      <c r="GN65" s="445"/>
      <c r="GO65" s="493"/>
    </row>
    <row r="66" spans="23:197" ht="24" customHeight="1" x14ac:dyDescent="0.25">
      <c r="W66" s="492"/>
      <c r="Y66" s="444"/>
      <c r="Z66" s="455">
        <v>4</v>
      </c>
      <c r="AA66" s="405" t="s">
        <v>415</v>
      </c>
      <c r="AB66" s="437" t="s">
        <v>416</v>
      </c>
      <c r="AC66" s="480"/>
      <c r="AF66" s="479"/>
      <c r="AG66" s="405"/>
      <c r="AH66" s="405"/>
      <c r="AJ66" s="445"/>
      <c r="AK66" s="493"/>
      <c r="BK66" s="492"/>
      <c r="BM66" s="444"/>
      <c r="BN66" s="455">
        <v>4</v>
      </c>
      <c r="BO66" s="405" t="s">
        <v>415</v>
      </c>
      <c r="BP66" s="437" t="s">
        <v>416</v>
      </c>
      <c r="BQ66" s="480"/>
      <c r="BT66" s="479"/>
      <c r="BU66" s="405"/>
      <c r="BV66" s="405"/>
      <c r="BX66" s="445"/>
      <c r="BY66" s="493"/>
      <c r="CY66" s="492"/>
      <c r="DA66" s="444"/>
      <c r="DB66" s="455">
        <v>4</v>
      </c>
      <c r="DC66" s="405" t="s">
        <v>415</v>
      </c>
      <c r="DD66" s="437" t="s">
        <v>416</v>
      </c>
      <c r="DE66" s="480"/>
      <c r="DH66" s="479"/>
      <c r="DI66" s="405"/>
      <c r="DJ66" s="405"/>
      <c r="DL66" s="445"/>
      <c r="DM66" s="493"/>
      <c r="EM66" s="492"/>
      <c r="EO66" s="444"/>
      <c r="EP66" s="455">
        <v>4</v>
      </c>
      <c r="EQ66" s="405" t="s">
        <v>415</v>
      </c>
      <c r="ER66" s="437" t="s">
        <v>416</v>
      </c>
      <c r="ES66" s="480"/>
      <c r="EV66" s="479"/>
      <c r="EW66" s="405"/>
      <c r="EX66" s="405"/>
      <c r="EZ66" s="445"/>
      <c r="FA66" s="493"/>
      <c r="GA66" s="492"/>
      <c r="GC66" s="444"/>
      <c r="GD66" s="455">
        <v>4</v>
      </c>
      <c r="GE66" s="405" t="s">
        <v>415</v>
      </c>
      <c r="GF66" s="437" t="s">
        <v>416</v>
      </c>
      <c r="GG66" s="480"/>
      <c r="GJ66" s="479"/>
      <c r="GK66" s="405"/>
      <c r="GL66" s="405"/>
      <c r="GN66" s="445"/>
      <c r="GO66" s="493"/>
    </row>
    <row r="67" spans="23:197" ht="18" customHeight="1" x14ac:dyDescent="0.25">
      <c r="W67" s="492"/>
      <c r="Y67" s="487"/>
      <c r="Z67" s="455">
        <v>5</v>
      </c>
      <c r="AA67" s="405" t="s">
        <v>417</v>
      </c>
      <c r="AB67" s="23" t="s">
        <v>418</v>
      </c>
      <c r="AC67" s="480"/>
      <c r="AF67" s="479"/>
      <c r="AG67" s="471"/>
      <c r="AJ67" s="445"/>
      <c r="AK67" s="493"/>
      <c r="BK67" s="492"/>
      <c r="BM67" s="487"/>
      <c r="BN67" s="455">
        <v>5</v>
      </c>
      <c r="BO67" s="405" t="s">
        <v>419</v>
      </c>
      <c r="BP67" s="23" t="s">
        <v>418</v>
      </c>
      <c r="BQ67" s="480"/>
      <c r="BT67" s="479"/>
      <c r="BU67" s="471"/>
      <c r="BX67" s="445"/>
      <c r="BY67" s="493"/>
      <c r="CY67" s="492"/>
      <c r="DA67" s="487"/>
      <c r="DB67" s="455">
        <v>5</v>
      </c>
      <c r="DC67" s="405" t="s">
        <v>419</v>
      </c>
      <c r="DD67" s="23" t="s">
        <v>418</v>
      </c>
      <c r="DE67" s="480"/>
      <c r="DH67" s="479"/>
      <c r="DI67" s="471"/>
      <c r="DL67" s="445"/>
      <c r="DM67" s="493"/>
      <c r="EM67" s="492"/>
      <c r="EO67" s="487"/>
      <c r="EP67" s="455">
        <v>5</v>
      </c>
      <c r="EQ67" s="405" t="s">
        <v>419</v>
      </c>
      <c r="ER67" s="23" t="s">
        <v>418</v>
      </c>
      <c r="ES67" s="480"/>
      <c r="EV67" s="479"/>
      <c r="EW67" s="471"/>
      <c r="EZ67" s="445"/>
      <c r="FA67" s="493"/>
      <c r="GA67" s="492"/>
      <c r="GC67" s="487"/>
      <c r="GD67" s="455">
        <v>5</v>
      </c>
      <c r="GE67" s="405" t="s">
        <v>419</v>
      </c>
      <c r="GF67" s="23" t="s">
        <v>418</v>
      </c>
      <c r="GG67" s="480"/>
      <c r="GJ67" s="479"/>
      <c r="GK67" s="471"/>
      <c r="GN67" s="445"/>
      <c r="GO67" s="493"/>
    </row>
    <row r="68" spans="23:197" ht="18.75" customHeight="1" x14ac:dyDescent="0.25">
      <c r="W68" s="492"/>
      <c r="Y68" s="444"/>
      <c r="Z68" s="455">
        <v>6</v>
      </c>
      <c r="AA68" s="405" t="s">
        <v>420</v>
      </c>
      <c r="AB68" s="23" t="s">
        <v>421</v>
      </c>
      <c r="AC68" s="480"/>
      <c r="AF68" s="479"/>
      <c r="AJ68" s="445"/>
      <c r="AK68" s="493"/>
      <c r="BK68" s="492"/>
      <c r="BM68" s="444"/>
      <c r="BN68" s="455">
        <v>6</v>
      </c>
      <c r="BO68" s="405" t="s">
        <v>420</v>
      </c>
      <c r="BP68" s="23" t="s">
        <v>421</v>
      </c>
      <c r="BQ68" s="480"/>
      <c r="BT68" s="479"/>
      <c r="BX68" s="445"/>
      <c r="BY68" s="493"/>
      <c r="CY68" s="492"/>
      <c r="DA68" s="444"/>
      <c r="DB68" s="455">
        <v>6</v>
      </c>
      <c r="DC68" s="405" t="s">
        <v>420</v>
      </c>
      <c r="DD68" s="23" t="s">
        <v>421</v>
      </c>
      <c r="DE68" s="480"/>
      <c r="DH68" s="479"/>
      <c r="DL68" s="445"/>
      <c r="DM68" s="493"/>
      <c r="EM68" s="492"/>
      <c r="EO68" s="444"/>
      <c r="EP68" s="455">
        <v>6</v>
      </c>
      <c r="EQ68" s="405" t="s">
        <v>420</v>
      </c>
      <c r="ER68" s="23" t="s">
        <v>421</v>
      </c>
      <c r="ES68" s="480"/>
      <c r="EV68" s="479"/>
      <c r="EZ68" s="445"/>
      <c r="FA68" s="493"/>
      <c r="GA68" s="492"/>
      <c r="GC68" s="444"/>
      <c r="GD68" s="455">
        <v>6</v>
      </c>
      <c r="GE68" s="405" t="s">
        <v>420</v>
      </c>
      <c r="GF68" s="23" t="s">
        <v>421</v>
      </c>
      <c r="GG68" s="480"/>
      <c r="GJ68" s="479"/>
      <c r="GN68" s="445"/>
      <c r="GO68" s="493"/>
    </row>
    <row r="69" spans="23:197" ht="30" customHeight="1" x14ac:dyDescent="0.25">
      <c r="W69" s="492"/>
      <c r="Y69" s="444"/>
      <c r="Z69" s="463">
        <v>7</v>
      </c>
      <c r="AA69" s="474" t="s">
        <v>422</v>
      </c>
      <c r="AB69" s="423" t="s">
        <v>423</v>
      </c>
      <c r="AC69" s="480"/>
      <c r="AF69" s="479"/>
      <c r="AI69" s="405"/>
      <c r="AJ69" s="477"/>
      <c r="AK69" s="493"/>
      <c r="BK69" s="492"/>
      <c r="BM69" s="444"/>
      <c r="BN69" s="463">
        <v>7</v>
      </c>
      <c r="BO69" s="474" t="s">
        <v>422</v>
      </c>
      <c r="BP69" s="423" t="s">
        <v>423</v>
      </c>
      <c r="BQ69" s="480"/>
      <c r="BT69" s="479"/>
      <c r="BW69" s="405"/>
      <c r="BX69" s="477"/>
      <c r="BY69" s="493"/>
      <c r="CY69" s="492"/>
      <c r="DA69" s="444"/>
      <c r="DB69" s="463">
        <v>7</v>
      </c>
      <c r="DC69" s="474" t="s">
        <v>422</v>
      </c>
      <c r="DD69" s="423" t="s">
        <v>423</v>
      </c>
      <c r="DE69" s="480"/>
      <c r="DH69" s="479"/>
      <c r="DK69" s="405"/>
      <c r="DL69" s="477"/>
      <c r="DM69" s="493"/>
      <c r="EM69" s="492"/>
      <c r="EO69" s="444"/>
      <c r="EP69" s="463">
        <v>7</v>
      </c>
      <c r="EQ69" s="474" t="s">
        <v>422</v>
      </c>
      <c r="ER69" s="423" t="s">
        <v>423</v>
      </c>
      <c r="ES69" s="480"/>
      <c r="EV69" s="479"/>
      <c r="EY69" s="405"/>
      <c r="EZ69" s="477"/>
      <c r="FA69" s="493"/>
      <c r="GA69" s="492"/>
      <c r="GC69" s="444"/>
      <c r="GD69" s="463">
        <v>7</v>
      </c>
      <c r="GE69" s="474" t="s">
        <v>422</v>
      </c>
      <c r="GF69" s="423" t="s">
        <v>423</v>
      </c>
      <c r="GG69" s="480"/>
      <c r="GJ69" s="479"/>
      <c r="GM69" s="405"/>
      <c r="GN69" s="477"/>
      <c r="GO69" s="493"/>
    </row>
    <row r="70" spans="23:197" ht="18.75" customHeight="1" x14ac:dyDescent="0.25">
      <c r="W70" s="495"/>
      <c r="X70" s="405"/>
      <c r="Y70" s="444"/>
      <c r="Z70" s="455">
        <v>8</v>
      </c>
      <c r="AA70" s="405" t="s">
        <v>341</v>
      </c>
      <c r="AB70" s="23" t="s">
        <v>424</v>
      </c>
      <c r="AC70" s="480" t="s">
        <v>425</v>
      </c>
      <c r="AF70" s="479"/>
      <c r="AJ70" s="445"/>
      <c r="AK70" s="493"/>
      <c r="BK70" s="495"/>
      <c r="BL70" s="405"/>
      <c r="BM70" s="444"/>
      <c r="BN70" s="455">
        <v>8</v>
      </c>
      <c r="BO70" s="405" t="s">
        <v>341</v>
      </c>
      <c r="BP70" s="23" t="s">
        <v>424</v>
      </c>
      <c r="BQ70" s="480" t="s">
        <v>425</v>
      </c>
      <c r="BT70" s="479"/>
      <c r="BX70" s="445"/>
      <c r="BY70" s="493"/>
      <c r="CY70" s="495"/>
      <c r="CZ70" s="405"/>
      <c r="DA70" s="444"/>
      <c r="DB70" s="455">
        <v>8</v>
      </c>
      <c r="DC70" s="405" t="s">
        <v>341</v>
      </c>
      <c r="DD70" s="23" t="s">
        <v>424</v>
      </c>
      <c r="DE70" s="480" t="s">
        <v>425</v>
      </c>
      <c r="DH70" s="479"/>
      <c r="DL70" s="445"/>
      <c r="DM70" s="493"/>
      <c r="EM70" s="495"/>
      <c r="EN70" s="405"/>
      <c r="EO70" s="444"/>
      <c r="EP70" s="455">
        <v>8</v>
      </c>
      <c r="EQ70" s="405" t="s">
        <v>341</v>
      </c>
      <c r="ER70" s="23" t="s">
        <v>424</v>
      </c>
      <c r="ES70" s="480" t="s">
        <v>425</v>
      </c>
      <c r="EV70" s="479"/>
      <c r="EZ70" s="445"/>
      <c r="FA70" s="493"/>
      <c r="GA70" s="495"/>
      <c r="GB70" s="405"/>
      <c r="GC70" s="444"/>
      <c r="GD70" s="455">
        <v>8</v>
      </c>
      <c r="GE70" s="405" t="s">
        <v>341</v>
      </c>
      <c r="GF70" s="23" t="s">
        <v>424</v>
      </c>
      <c r="GG70" s="480" t="s">
        <v>425</v>
      </c>
      <c r="GJ70" s="479"/>
      <c r="GN70" s="445"/>
      <c r="GO70" s="493"/>
    </row>
    <row r="71" spans="23:197" x14ac:dyDescent="0.25">
      <c r="W71" s="492"/>
      <c r="Y71" s="444"/>
      <c r="Z71" s="455">
        <v>9</v>
      </c>
      <c r="AA71" s="405" t="s">
        <v>426</v>
      </c>
      <c r="AB71" s="405" t="s">
        <v>416</v>
      </c>
      <c r="AC71" s="633" t="s">
        <v>427</v>
      </c>
      <c r="AD71" s="634"/>
      <c r="AE71" s="634"/>
      <c r="AF71" s="635"/>
      <c r="AJ71" s="445"/>
      <c r="AK71" s="493"/>
      <c r="BK71" s="492"/>
      <c r="BM71" s="444"/>
      <c r="BN71" s="455">
        <v>9</v>
      </c>
      <c r="BO71" s="405" t="s">
        <v>426</v>
      </c>
      <c r="BP71" s="405" t="s">
        <v>416</v>
      </c>
      <c r="BQ71" s="633" t="s">
        <v>428</v>
      </c>
      <c r="BR71" s="634"/>
      <c r="BS71" s="634"/>
      <c r="BT71" s="635"/>
      <c r="BX71" s="445"/>
      <c r="BY71" s="493"/>
      <c r="CY71" s="492"/>
      <c r="DA71" s="444"/>
      <c r="DB71" s="455">
        <v>9</v>
      </c>
      <c r="DC71" s="405" t="s">
        <v>426</v>
      </c>
      <c r="DD71" s="405" t="s">
        <v>416</v>
      </c>
      <c r="DE71" s="633" t="s">
        <v>427</v>
      </c>
      <c r="DF71" s="634"/>
      <c r="DG71" s="634"/>
      <c r="DH71" s="635"/>
      <c r="DL71" s="445"/>
      <c r="DM71" s="493"/>
      <c r="EM71" s="492"/>
      <c r="EO71" s="444"/>
      <c r="EP71" s="455">
        <v>9</v>
      </c>
      <c r="EQ71" s="405" t="s">
        <v>426</v>
      </c>
      <c r="ER71" s="405" t="s">
        <v>416</v>
      </c>
      <c r="ES71" s="633" t="s">
        <v>428</v>
      </c>
      <c r="ET71" s="634"/>
      <c r="EU71" s="634"/>
      <c r="EV71" s="635"/>
      <c r="EZ71" s="445"/>
      <c r="FA71" s="493"/>
      <c r="GA71" s="492"/>
      <c r="GC71" s="444"/>
      <c r="GD71" s="455">
        <v>9</v>
      </c>
      <c r="GE71" s="405" t="s">
        <v>426</v>
      </c>
      <c r="GF71" s="405" t="s">
        <v>416</v>
      </c>
      <c r="GG71" s="633" t="s">
        <v>428</v>
      </c>
      <c r="GH71" s="634"/>
      <c r="GI71" s="634"/>
      <c r="GJ71" s="635"/>
      <c r="GN71" s="445"/>
      <c r="GO71" s="493"/>
    </row>
    <row r="72" spans="23:197" ht="18.75" customHeight="1" x14ac:dyDescent="0.25">
      <c r="W72" s="492"/>
      <c r="Y72" s="444"/>
      <c r="Z72" s="455">
        <v>10</v>
      </c>
      <c r="AA72" s="405" t="s">
        <v>339</v>
      </c>
      <c r="AC72" s="480" t="s">
        <v>429</v>
      </c>
      <c r="AF72" s="479"/>
      <c r="AJ72" s="445"/>
      <c r="AK72" s="493"/>
      <c r="BK72" s="492"/>
      <c r="BM72" s="444"/>
      <c r="BN72" s="455">
        <v>10</v>
      </c>
      <c r="BO72" s="405" t="s">
        <v>339</v>
      </c>
      <c r="BQ72" s="480" t="s">
        <v>429</v>
      </c>
      <c r="BT72" s="479"/>
      <c r="BX72" s="445"/>
      <c r="BY72" s="493"/>
      <c r="CY72" s="492"/>
      <c r="DA72" s="444"/>
      <c r="DB72" s="455">
        <v>10</v>
      </c>
      <c r="DC72" s="405" t="s">
        <v>339</v>
      </c>
      <c r="DE72" s="480" t="s">
        <v>429</v>
      </c>
      <c r="DH72" s="479"/>
      <c r="DL72" s="445"/>
      <c r="DM72" s="493"/>
      <c r="EM72" s="492"/>
      <c r="EO72" s="444"/>
      <c r="EP72" s="455">
        <v>10</v>
      </c>
      <c r="EQ72" s="405" t="s">
        <v>339</v>
      </c>
      <c r="ES72" s="480" t="s">
        <v>429</v>
      </c>
      <c r="EV72" s="479"/>
      <c r="EZ72" s="445"/>
      <c r="FA72" s="493"/>
      <c r="GA72" s="492"/>
      <c r="GC72" s="444"/>
      <c r="GD72" s="455">
        <v>10</v>
      </c>
      <c r="GE72" s="405" t="s">
        <v>339</v>
      </c>
      <c r="GG72" s="480" t="s">
        <v>429</v>
      </c>
      <c r="GJ72" s="479"/>
      <c r="GN72" s="445"/>
      <c r="GO72" s="493"/>
    </row>
    <row r="73" spans="23:197" x14ac:dyDescent="0.25">
      <c r="W73" s="492"/>
      <c r="Y73" s="444"/>
      <c r="Z73" s="455">
        <v>11</v>
      </c>
      <c r="AA73" s="405" t="s">
        <v>430</v>
      </c>
      <c r="AC73" s="630" t="s">
        <v>431</v>
      </c>
      <c r="AD73" s="631"/>
      <c r="AE73" s="631"/>
      <c r="AF73" s="632"/>
      <c r="AJ73" s="445"/>
      <c r="AK73" s="493"/>
      <c r="BK73" s="492"/>
      <c r="BM73" s="444"/>
      <c r="BN73" s="455">
        <v>11</v>
      </c>
      <c r="BO73" s="405" t="s">
        <v>430</v>
      </c>
      <c r="BQ73" s="630" t="s">
        <v>431</v>
      </c>
      <c r="BR73" s="631"/>
      <c r="BS73" s="631"/>
      <c r="BT73" s="632"/>
      <c r="BX73" s="445"/>
      <c r="BY73" s="493"/>
      <c r="CY73" s="492"/>
      <c r="DA73" s="444"/>
      <c r="DB73" s="455">
        <v>11</v>
      </c>
      <c r="DC73" s="405" t="s">
        <v>430</v>
      </c>
      <c r="DE73" s="630" t="s">
        <v>431</v>
      </c>
      <c r="DF73" s="631"/>
      <c r="DG73" s="631"/>
      <c r="DH73" s="632"/>
      <c r="DL73" s="445"/>
      <c r="DM73" s="493"/>
      <c r="EM73" s="492"/>
      <c r="EO73" s="444"/>
      <c r="EP73" s="455">
        <v>11</v>
      </c>
      <c r="EQ73" s="405" t="s">
        <v>430</v>
      </c>
      <c r="ES73" s="630" t="s">
        <v>431</v>
      </c>
      <c r="ET73" s="631"/>
      <c r="EU73" s="631"/>
      <c r="EV73" s="632"/>
      <c r="EZ73" s="445"/>
      <c r="FA73" s="493"/>
      <c r="GA73" s="492"/>
      <c r="GC73" s="444"/>
      <c r="GD73" s="455">
        <v>11</v>
      </c>
      <c r="GE73" s="405" t="s">
        <v>430</v>
      </c>
      <c r="GG73" s="630" t="s">
        <v>431</v>
      </c>
      <c r="GH73" s="631"/>
      <c r="GI73" s="631"/>
      <c r="GJ73" s="632"/>
      <c r="GN73" s="445"/>
      <c r="GO73" s="493"/>
    </row>
    <row r="74" spans="23:197" ht="18.75" customHeight="1" x14ac:dyDescent="0.25">
      <c r="W74" s="492"/>
      <c r="Y74" s="444"/>
      <c r="Z74" s="456"/>
      <c r="AA74" s="457"/>
      <c r="AB74" s="447"/>
      <c r="AC74" s="481"/>
      <c r="AD74" s="482"/>
      <c r="AE74" s="482"/>
      <c r="AF74" s="483"/>
      <c r="AJ74" s="445"/>
      <c r="AK74" s="493"/>
      <c r="BK74" s="492"/>
      <c r="BM74" s="444"/>
      <c r="BN74" s="456"/>
      <c r="BO74" s="457"/>
      <c r="BP74" s="447"/>
      <c r="BQ74" s="481"/>
      <c r="BR74" s="482"/>
      <c r="BS74" s="482"/>
      <c r="BT74" s="483"/>
      <c r="BX74" s="445"/>
      <c r="BY74" s="493"/>
      <c r="CY74" s="492"/>
      <c r="DA74" s="444"/>
      <c r="DB74" s="456"/>
      <c r="DC74" s="457"/>
      <c r="DD74" s="447"/>
      <c r="DE74" s="481"/>
      <c r="DF74" s="482"/>
      <c r="DG74" s="482"/>
      <c r="DH74" s="483"/>
      <c r="DL74" s="445"/>
      <c r="DM74" s="493"/>
      <c r="EM74" s="492"/>
      <c r="EO74" s="444"/>
      <c r="EP74" s="456"/>
      <c r="EQ74" s="457"/>
      <c r="ER74" s="447"/>
      <c r="ES74" s="481"/>
      <c r="ET74" s="482"/>
      <c r="EU74" s="482"/>
      <c r="EV74" s="483"/>
      <c r="EZ74" s="445"/>
      <c r="FA74" s="493"/>
      <c r="GA74" s="492"/>
      <c r="GC74" s="444"/>
      <c r="GD74" s="456"/>
      <c r="GE74" s="457"/>
      <c r="GF74" s="447"/>
      <c r="GG74" s="481"/>
      <c r="GH74" s="482"/>
      <c r="GI74" s="482"/>
      <c r="GJ74" s="483"/>
      <c r="GN74" s="445"/>
      <c r="GO74" s="493"/>
    </row>
    <row r="75" spans="23:197" ht="18.75" customHeight="1" x14ac:dyDescent="0.25">
      <c r="W75" s="492"/>
      <c r="Y75" s="444"/>
      <c r="Z75" s="426"/>
      <c r="AA75" s="405"/>
      <c r="AJ75" s="445"/>
      <c r="AK75" s="493"/>
      <c r="BK75" s="492"/>
      <c r="BM75" s="444"/>
      <c r="BN75" s="426"/>
      <c r="BO75" s="405"/>
      <c r="BX75" s="445"/>
      <c r="BY75" s="493"/>
      <c r="CY75" s="492"/>
      <c r="DA75" s="444"/>
      <c r="DB75" s="426"/>
      <c r="DC75" s="405"/>
      <c r="DL75" s="445"/>
      <c r="DM75" s="493"/>
      <c r="EM75" s="492"/>
      <c r="EO75" s="444"/>
      <c r="EP75" s="426"/>
      <c r="EQ75" s="405"/>
      <c r="EZ75" s="445"/>
      <c r="FA75" s="493"/>
      <c r="GA75" s="492"/>
      <c r="GC75" s="444"/>
      <c r="GD75" s="426"/>
      <c r="GE75" s="405"/>
      <c r="GN75" s="445"/>
      <c r="GO75" s="493"/>
    </row>
    <row r="76" spans="23:197" ht="18.75" customHeight="1" x14ac:dyDescent="0.25">
      <c r="W76" s="492"/>
      <c r="Y76" s="444"/>
      <c r="Z76" s="426"/>
      <c r="AA76" s="405"/>
      <c r="AJ76" s="445"/>
      <c r="AK76" s="493"/>
      <c r="BK76" s="492"/>
      <c r="BM76" s="444"/>
      <c r="BN76" s="426"/>
      <c r="BO76" s="405"/>
      <c r="BX76" s="445"/>
      <c r="BY76" s="493"/>
      <c r="CY76" s="492"/>
      <c r="DA76" s="444"/>
      <c r="DB76" s="426"/>
      <c r="DC76" s="405"/>
      <c r="DL76" s="445"/>
      <c r="DM76" s="493"/>
      <c r="EM76" s="492"/>
      <c r="EO76" s="444"/>
      <c r="EP76" s="426"/>
      <c r="EQ76" s="405"/>
      <c r="EZ76" s="445"/>
      <c r="FA76" s="493"/>
      <c r="GA76" s="492"/>
      <c r="GC76" s="444"/>
      <c r="GD76" s="426"/>
      <c r="GE76" s="405"/>
      <c r="GN76" s="445"/>
      <c r="GO76" s="493"/>
    </row>
    <row r="77" spans="23:197" x14ac:dyDescent="0.25">
      <c r="W77" s="492"/>
      <c r="Y77" s="444"/>
      <c r="Z77" s="426"/>
      <c r="AA77" s="405"/>
      <c r="AC77" s="38"/>
      <c r="AD77" s="38"/>
      <c r="AJ77" s="445"/>
      <c r="AK77" s="493"/>
      <c r="BK77" s="492"/>
      <c r="BM77" s="444"/>
      <c r="BN77" s="426"/>
      <c r="BO77" s="405"/>
      <c r="BQ77" s="38"/>
      <c r="BR77" s="38"/>
      <c r="BX77" s="445"/>
      <c r="BY77" s="493"/>
      <c r="CY77" s="492"/>
      <c r="DA77" s="444"/>
      <c r="DB77" s="426"/>
      <c r="DC77" s="405"/>
      <c r="DE77" s="38"/>
      <c r="DF77" s="38"/>
      <c r="DL77" s="445"/>
      <c r="DM77" s="493"/>
      <c r="EM77" s="492"/>
      <c r="EO77" s="444"/>
      <c r="EP77" s="426"/>
      <c r="EQ77" s="405"/>
      <c r="ES77" s="38"/>
      <c r="ET77" s="38"/>
      <c r="EZ77" s="445"/>
      <c r="FA77" s="493"/>
      <c r="GA77" s="492"/>
      <c r="GC77" s="444"/>
      <c r="GD77" s="426"/>
      <c r="GE77" s="405"/>
      <c r="GG77" s="38"/>
      <c r="GH77" s="38"/>
      <c r="GN77" s="445"/>
      <c r="GO77" s="493"/>
    </row>
    <row r="78" spans="23:197" ht="21" customHeight="1" x14ac:dyDescent="0.25">
      <c r="W78" s="492"/>
      <c r="Y78" s="444"/>
      <c r="Z78" s="485" t="s">
        <v>432</v>
      </c>
      <c r="AA78" s="429"/>
      <c r="AB78" s="486"/>
      <c r="AC78" s="38"/>
      <c r="AD78" s="38"/>
      <c r="AJ78" s="445"/>
      <c r="AK78" s="493"/>
      <c r="BK78" s="492"/>
      <c r="BM78" s="444"/>
      <c r="BN78" s="485" t="s">
        <v>432</v>
      </c>
      <c r="BO78" s="429"/>
      <c r="BP78" s="486"/>
      <c r="BQ78" s="38"/>
      <c r="BR78" s="38"/>
      <c r="BX78" s="445"/>
      <c r="BY78" s="493"/>
      <c r="CY78" s="492"/>
      <c r="DA78" s="444"/>
      <c r="DB78" s="485" t="s">
        <v>432</v>
      </c>
      <c r="DC78" s="429"/>
      <c r="DD78" s="486"/>
      <c r="DE78" s="38"/>
      <c r="DF78" s="38"/>
      <c r="DL78" s="445"/>
      <c r="DM78" s="493"/>
      <c r="EM78" s="492"/>
      <c r="EO78" s="444"/>
      <c r="EP78" s="485" t="s">
        <v>432</v>
      </c>
      <c r="EQ78" s="429"/>
      <c r="ER78" s="486"/>
      <c r="ES78" s="38"/>
      <c r="ET78" s="38"/>
      <c r="EZ78" s="445"/>
      <c r="FA78" s="493"/>
      <c r="GA78" s="492"/>
      <c r="GC78" s="444"/>
      <c r="GD78" s="485" t="s">
        <v>432</v>
      </c>
      <c r="GE78" s="429"/>
      <c r="GF78" s="486"/>
      <c r="GG78" s="38"/>
      <c r="GH78" s="38"/>
      <c r="GN78" s="445"/>
      <c r="GO78" s="493"/>
    </row>
    <row r="79" spans="23:197" ht="15.75" customHeight="1" x14ac:dyDescent="0.25">
      <c r="W79" s="492"/>
      <c r="Y79" s="444"/>
      <c r="Z79" s="469"/>
      <c r="AA79" s="469"/>
      <c r="AB79" s="469"/>
      <c r="AC79" s="469"/>
      <c r="AD79" s="469"/>
      <c r="AE79" s="469"/>
      <c r="AF79" s="469"/>
      <c r="AJ79" s="445"/>
      <c r="AK79" s="493"/>
      <c r="BK79" s="492"/>
      <c r="BM79" s="444"/>
      <c r="BN79" s="469"/>
      <c r="BO79" s="469"/>
      <c r="BP79" s="469"/>
      <c r="BQ79" s="469"/>
      <c r="BR79" s="469"/>
      <c r="BS79" s="469"/>
      <c r="BT79" s="469"/>
      <c r="BX79" s="445"/>
      <c r="BY79" s="493"/>
      <c r="CY79" s="492"/>
      <c r="DA79" s="444"/>
      <c r="DB79" s="469"/>
      <c r="DC79" s="469"/>
      <c r="DD79" s="469"/>
      <c r="DE79" s="469"/>
      <c r="DF79" s="469"/>
      <c r="DG79" s="469"/>
      <c r="DH79" s="469"/>
      <c r="DL79" s="445"/>
      <c r="DM79" s="493"/>
      <c r="EM79" s="492"/>
      <c r="EO79" s="444"/>
      <c r="EP79" s="469"/>
      <c r="EQ79" s="469"/>
      <c r="ER79" s="469"/>
      <c r="ES79" s="469"/>
      <c r="ET79" s="469"/>
      <c r="EU79" s="469"/>
      <c r="EV79" s="469"/>
      <c r="EZ79" s="445"/>
      <c r="FA79" s="493"/>
      <c r="GA79" s="492"/>
      <c r="GC79" s="444"/>
      <c r="GD79" s="469"/>
      <c r="GE79" s="469"/>
      <c r="GF79" s="469"/>
      <c r="GG79" s="469"/>
      <c r="GH79" s="469"/>
      <c r="GI79" s="469"/>
      <c r="GJ79" s="469"/>
      <c r="GN79" s="445"/>
      <c r="GO79" s="493"/>
    </row>
    <row r="80" spans="23:197" ht="15.75" customHeight="1" x14ac:dyDescent="0.25">
      <c r="W80" s="492"/>
      <c r="Y80" s="444"/>
      <c r="Z80" s="426"/>
      <c r="AA80" s="405"/>
      <c r="AC80" s="38"/>
      <c r="AD80" s="426"/>
      <c r="AE80" s="426"/>
      <c r="AF80" s="426"/>
      <c r="AJ80" s="445"/>
      <c r="AK80" s="493"/>
      <c r="BK80" s="492"/>
      <c r="BM80" s="444"/>
      <c r="BN80" s="426"/>
      <c r="BO80" s="405"/>
      <c r="BQ80" s="38"/>
      <c r="BR80" s="426"/>
      <c r="BS80" s="426"/>
      <c r="BT80" s="426"/>
      <c r="BX80" s="445"/>
      <c r="BY80" s="493"/>
      <c r="CY80" s="492"/>
      <c r="DA80" s="444"/>
      <c r="DB80" s="426"/>
      <c r="DC80" s="405"/>
      <c r="DE80" s="38"/>
      <c r="DF80" s="426"/>
      <c r="DG80" s="426"/>
      <c r="DH80" s="426"/>
      <c r="DL80" s="445"/>
      <c r="DM80" s="493"/>
      <c r="EM80" s="492"/>
      <c r="EO80" s="444"/>
      <c r="EP80" s="426"/>
      <c r="EQ80" s="405"/>
      <c r="ES80" s="38"/>
      <c r="ET80" s="426"/>
      <c r="EU80" s="426"/>
      <c r="EV80" s="426"/>
      <c r="EZ80" s="445"/>
      <c r="FA80" s="493"/>
      <c r="GA80" s="492"/>
      <c r="GC80" s="444"/>
      <c r="GD80" s="426"/>
      <c r="GE80" s="405"/>
      <c r="GG80" s="38"/>
      <c r="GH80" s="426"/>
      <c r="GI80" s="426"/>
      <c r="GJ80" s="426"/>
      <c r="GN80" s="445"/>
      <c r="GO80" s="493"/>
    </row>
    <row r="81" spans="23:197" ht="15.75" customHeight="1" x14ac:dyDescent="0.25">
      <c r="W81" s="492"/>
      <c r="Y81" s="444"/>
      <c r="Z81" s="426"/>
      <c r="AA81" s="405"/>
      <c r="AC81" s="38"/>
      <c r="AD81" s="426"/>
      <c r="AE81" s="426"/>
      <c r="AJ81" s="445"/>
      <c r="AK81" s="493"/>
      <c r="BK81" s="492"/>
      <c r="BM81" s="444"/>
      <c r="BN81" s="426"/>
      <c r="BO81" s="405"/>
      <c r="BQ81" s="38"/>
      <c r="BR81" s="426"/>
      <c r="BS81" s="426"/>
      <c r="BX81" s="445"/>
      <c r="BY81" s="493"/>
      <c r="CY81" s="492"/>
      <c r="DA81" s="444"/>
      <c r="DB81" s="426"/>
      <c r="DC81" s="405"/>
      <c r="DE81" s="38"/>
      <c r="DF81" s="426"/>
      <c r="DG81" s="426"/>
      <c r="DL81" s="445"/>
      <c r="DM81" s="493"/>
      <c r="EM81" s="492"/>
      <c r="EO81" s="444"/>
      <c r="EP81" s="426"/>
      <c r="EQ81" s="405"/>
      <c r="ES81" s="38"/>
      <c r="ET81" s="426"/>
      <c r="EU81" s="426"/>
      <c r="EZ81" s="445"/>
      <c r="FA81" s="493"/>
      <c r="GA81" s="492"/>
      <c r="GC81" s="444"/>
      <c r="GD81" s="426"/>
      <c r="GE81" s="405"/>
      <c r="GG81" s="38"/>
      <c r="GH81" s="426"/>
      <c r="GI81" s="426"/>
      <c r="GN81" s="445"/>
      <c r="GO81" s="493"/>
    </row>
    <row r="82" spans="23:197" ht="15.75" customHeight="1" x14ac:dyDescent="0.25">
      <c r="W82" s="492"/>
      <c r="Y82" s="444"/>
      <c r="Z82" s="426"/>
      <c r="AA82" s="405"/>
      <c r="AC82" s="38"/>
      <c r="AD82" s="38"/>
      <c r="AE82" s="38"/>
      <c r="AG82" s="469"/>
      <c r="AH82" s="405"/>
      <c r="AJ82" s="445"/>
      <c r="AK82" s="493"/>
      <c r="BK82" s="492"/>
      <c r="BM82" s="444"/>
      <c r="BN82" s="426"/>
      <c r="BO82" s="405"/>
      <c r="BQ82" s="38"/>
      <c r="BR82" s="38"/>
      <c r="BS82" s="38"/>
      <c r="BU82" s="469"/>
      <c r="BV82" s="405"/>
      <c r="BX82" s="445"/>
      <c r="BY82" s="493"/>
      <c r="CY82" s="492"/>
      <c r="DA82" s="444"/>
      <c r="DB82" s="426"/>
      <c r="DC82" s="405"/>
      <c r="DE82" s="38"/>
      <c r="DF82" s="38"/>
      <c r="DG82" s="38"/>
      <c r="DI82" s="469"/>
      <c r="DJ82" s="405"/>
      <c r="DL82" s="445"/>
      <c r="DM82" s="493"/>
      <c r="EM82" s="492"/>
      <c r="EO82" s="444"/>
      <c r="EP82" s="426"/>
      <c r="EQ82" s="405"/>
      <c r="ES82" s="38"/>
      <c r="ET82" s="38"/>
      <c r="EU82" s="38"/>
      <c r="EW82" s="469"/>
      <c r="EX82" s="405"/>
      <c r="EZ82" s="445"/>
      <c r="FA82" s="493"/>
      <c r="GA82" s="492"/>
      <c r="GC82" s="444"/>
      <c r="GD82" s="426"/>
      <c r="GE82" s="405"/>
      <c r="GG82" s="38"/>
      <c r="GH82" s="38"/>
      <c r="GI82" s="38"/>
      <c r="GK82" s="469"/>
      <c r="GL82" s="405"/>
      <c r="GN82" s="445"/>
      <c r="GO82" s="493"/>
    </row>
    <row r="83" spans="23:197" ht="15.75" customHeight="1" x14ac:dyDescent="0.25">
      <c r="W83" s="492"/>
      <c r="Y83" s="444"/>
      <c r="Z83" s="426"/>
      <c r="AA83" s="405"/>
      <c r="AC83" s="38"/>
      <c r="AD83" s="38"/>
      <c r="AE83" s="38"/>
      <c r="AJ83" s="445"/>
      <c r="AK83" s="493"/>
      <c r="BK83" s="492"/>
      <c r="BM83" s="444"/>
      <c r="BN83" s="426"/>
      <c r="BO83" s="405"/>
      <c r="BQ83" s="38"/>
      <c r="BR83" s="38"/>
      <c r="BS83" s="38"/>
      <c r="BX83" s="445"/>
      <c r="BY83" s="493"/>
      <c r="CY83" s="492"/>
      <c r="DA83" s="444"/>
      <c r="DB83" s="426"/>
      <c r="DC83" s="405"/>
      <c r="DE83" s="38"/>
      <c r="DF83" s="38"/>
      <c r="DG83" s="38"/>
      <c r="DL83" s="445"/>
      <c r="DM83" s="493"/>
      <c r="EM83" s="492"/>
      <c r="EO83" s="444"/>
      <c r="EP83" s="426"/>
      <c r="EQ83" s="405"/>
      <c r="ES83" s="38"/>
      <c r="ET83" s="38"/>
      <c r="EU83" s="38"/>
      <c r="EZ83" s="445"/>
      <c r="FA83" s="493"/>
      <c r="GA83" s="492"/>
      <c r="GC83" s="444"/>
      <c r="GD83" s="426"/>
      <c r="GE83" s="405"/>
      <c r="GG83" s="38"/>
      <c r="GH83" s="38"/>
      <c r="GI83" s="38"/>
      <c r="GN83" s="445"/>
      <c r="GO83" s="493"/>
    </row>
    <row r="84" spans="23:197" ht="15.75" customHeight="1" x14ac:dyDescent="0.25">
      <c r="W84" s="492"/>
      <c r="Y84" s="444"/>
      <c r="Z84" s="426"/>
      <c r="AA84" s="405"/>
      <c r="AC84" s="38"/>
      <c r="AD84" s="38"/>
      <c r="AE84" s="38"/>
      <c r="AJ84" s="445"/>
      <c r="AK84" s="493"/>
      <c r="BK84" s="492"/>
      <c r="BM84" s="444"/>
      <c r="BN84" s="426"/>
      <c r="BO84" s="405"/>
      <c r="BQ84" s="38"/>
      <c r="BR84" s="38"/>
      <c r="BS84" s="38"/>
      <c r="BX84" s="445"/>
      <c r="BY84" s="493"/>
      <c r="CY84" s="492"/>
      <c r="DA84" s="444"/>
      <c r="DB84" s="426"/>
      <c r="DC84" s="405"/>
      <c r="DE84" s="38"/>
      <c r="DF84" s="38"/>
      <c r="DG84" s="38"/>
      <c r="DL84" s="445"/>
      <c r="DM84" s="493"/>
      <c r="EM84" s="492"/>
      <c r="EO84" s="444"/>
      <c r="EP84" s="426"/>
      <c r="EQ84" s="405"/>
      <c r="ES84" s="38"/>
      <c r="ET84" s="38"/>
      <c r="EU84" s="38"/>
      <c r="EZ84" s="445"/>
      <c r="FA84" s="493"/>
      <c r="GA84" s="492"/>
      <c r="GC84" s="444"/>
      <c r="GD84" s="426"/>
      <c r="GE84" s="405"/>
      <c r="GG84" s="38"/>
      <c r="GH84" s="38"/>
      <c r="GI84" s="38"/>
      <c r="GN84" s="445"/>
      <c r="GO84" s="493"/>
    </row>
    <row r="85" spans="23:197" ht="15.75" customHeight="1" x14ac:dyDescent="0.25">
      <c r="W85" s="492"/>
      <c r="Y85" s="444"/>
      <c r="Z85" s="426"/>
      <c r="AA85" s="405"/>
      <c r="AC85" s="38"/>
      <c r="AD85" s="38"/>
      <c r="AJ85" s="445"/>
      <c r="AK85" s="493"/>
      <c r="BK85" s="492"/>
      <c r="BM85" s="444"/>
      <c r="BN85" s="426"/>
      <c r="BO85" s="405"/>
      <c r="BQ85" s="38"/>
      <c r="BR85" s="38"/>
      <c r="BX85" s="445"/>
      <c r="BY85" s="493"/>
      <c r="CY85" s="492"/>
      <c r="DA85" s="444"/>
      <c r="DB85" s="426"/>
      <c r="DC85" s="405"/>
      <c r="DE85" s="38"/>
      <c r="DF85" s="38"/>
      <c r="DL85" s="445"/>
      <c r="DM85" s="493"/>
      <c r="EM85" s="492"/>
      <c r="EO85" s="444"/>
      <c r="EP85" s="426"/>
      <c r="EQ85" s="405"/>
      <c r="ES85" s="38"/>
      <c r="ET85" s="38"/>
      <c r="EZ85" s="445"/>
      <c r="FA85" s="493"/>
      <c r="GA85" s="492"/>
      <c r="GC85" s="444"/>
      <c r="GD85" s="426"/>
      <c r="GE85" s="405"/>
      <c r="GG85" s="38"/>
      <c r="GH85" s="38"/>
      <c r="GN85" s="445"/>
      <c r="GO85" s="493"/>
    </row>
    <row r="86" spans="23:197" ht="15.75" customHeight="1" x14ac:dyDescent="0.3">
      <c r="W86" s="492"/>
      <c r="Y86" s="444"/>
      <c r="Z86" s="484" t="s">
        <v>433</v>
      </c>
      <c r="AA86" s="430"/>
      <c r="AB86" s="257"/>
      <c r="AC86" s="38"/>
      <c r="AD86" s="38"/>
      <c r="AJ86" s="445"/>
      <c r="AK86" s="493"/>
      <c r="BK86" s="492"/>
      <c r="BM86" s="444"/>
      <c r="BN86" s="484" t="s">
        <v>433</v>
      </c>
      <c r="BO86" s="430"/>
      <c r="BP86" s="257"/>
      <c r="BQ86" s="38"/>
      <c r="BR86" s="38"/>
      <c r="BX86" s="445"/>
      <c r="BY86" s="493"/>
      <c r="CY86" s="492"/>
      <c r="DA86" s="444"/>
      <c r="DB86" s="484" t="s">
        <v>433</v>
      </c>
      <c r="DC86" s="430"/>
      <c r="DD86" s="257"/>
      <c r="DE86" s="38"/>
      <c r="DF86" s="38"/>
      <c r="DL86" s="445"/>
      <c r="DM86" s="493"/>
      <c r="EM86" s="492"/>
      <c r="EO86" s="444"/>
      <c r="EP86" s="484" t="s">
        <v>433</v>
      </c>
      <c r="EQ86" s="430"/>
      <c r="ER86" s="257"/>
      <c r="ES86" s="38"/>
      <c r="ET86" s="38"/>
      <c r="EZ86" s="445"/>
      <c r="FA86" s="493"/>
      <c r="GA86" s="492"/>
      <c r="GC86" s="444"/>
      <c r="GD86" s="484" t="s">
        <v>433</v>
      </c>
      <c r="GE86" s="430"/>
      <c r="GF86" s="257"/>
      <c r="GG86" s="38"/>
      <c r="GH86" s="38"/>
      <c r="GN86" s="445"/>
      <c r="GO86" s="493"/>
    </row>
    <row r="87" spans="23:197" ht="15.75" customHeight="1" x14ac:dyDescent="0.25">
      <c r="W87" s="492"/>
      <c r="Y87" s="444"/>
      <c r="Z87" s="469"/>
      <c r="AA87" s="469"/>
      <c r="AB87" s="469"/>
      <c r="AC87" s="469"/>
      <c r="AD87" s="469"/>
      <c r="AE87" s="469"/>
      <c r="AF87" s="469"/>
      <c r="AJ87" s="445"/>
      <c r="AK87" s="493"/>
      <c r="BK87" s="492"/>
      <c r="BM87" s="444"/>
      <c r="BN87" s="469"/>
      <c r="BO87" s="469"/>
      <c r="BP87" s="469"/>
      <c r="BQ87" s="469"/>
      <c r="BR87" s="469"/>
      <c r="BS87" s="469"/>
      <c r="BT87" s="469"/>
      <c r="BX87" s="445"/>
      <c r="BY87" s="493"/>
      <c r="CY87" s="492"/>
      <c r="DA87" s="444"/>
      <c r="DB87" s="469"/>
      <c r="DC87" s="469"/>
      <c r="DD87" s="469"/>
      <c r="DE87" s="469"/>
      <c r="DF87" s="469"/>
      <c r="DG87" s="469"/>
      <c r="DH87" s="469"/>
      <c r="DL87" s="445"/>
      <c r="DM87" s="493"/>
      <c r="EM87" s="492"/>
      <c r="EO87" s="444"/>
      <c r="EP87" s="469"/>
      <c r="EQ87" s="469"/>
      <c r="ER87" s="469"/>
      <c r="ES87" s="469"/>
      <c r="ET87" s="469"/>
      <c r="EU87" s="469"/>
      <c r="EV87" s="469"/>
      <c r="EZ87" s="445"/>
      <c r="FA87" s="493"/>
      <c r="GA87" s="492"/>
      <c r="GC87" s="444"/>
      <c r="GD87" s="469"/>
      <c r="GE87" s="469"/>
      <c r="GF87" s="469"/>
      <c r="GG87" s="469"/>
      <c r="GH87" s="469"/>
      <c r="GI87" s="469"/>
      <c r="GJ87" s="469"/>
      <c r="GN87" s="445"/>
      <c r="GO87" s="493"/>
    </row>
    <row r="88" spans="23:197" ht="15.75" customHeight="1" x14ac:dyDescent="0.25">
      <c r="W88" s="492"/>
      <c r="Y88" s="444"/>
      <c r="AJ88" s="445"/>
      <c r="AK88" s="493"/>
      <c r="BK88" s="492"/>
      <c r="BM88" s="444"/>
      <c r="BX88" s="445"/>
      <c r="BY88" s="493"/>
      <c r="CY88" s="492"/>
      <c r="DA88" s="444"/>
      <c r="DL88" s="445"/>
      <c r="DM88" s="493"/>
      <c r="EM88" s="492"/>
      <c r="EO88" s="444"/>
      <c r="EZ88" s="445"/>
      <c r="FA88" s="493"/>
      <c r="GA88" s="492"/>
      <c r="GC88" s="444"/>
      <c r="GN88" s="445"/>
      <c r="GO88" s="493"/>
    </row>
    <row r="89" spans="23:197" ht="15.75" customHeight="1" x14ac:dyDescent="0.25">
      <c r="W89" s="492"/>
      <c r="Y89" s="444"/>
      <c r="AJ89" s="445"/>
      <c r="AK89" s="493"/>
      <c r="BK89" s="492"/>
      <c r="BM89" s="444"/>
      <c r="BX89" s="445"/>
      <c r="BY89" s="493"/>
      <c r="CY89" s="492"/>
      <c r="DA89" s="444"/>
      <c r="DL89" s="445"/>
      <c r="DM89" s="493"/>
      <c r="EM89" s="492"/>
      <c r="EO89" s="444"/>
      <c r="EZ89" s="445"/>
      <c r="FA89" s="493"/>
      <c r="GA89" s="492"/>
      <c r="GC89" s="444"/>
      <c r="GN89" s="445"/>
      <c r="GO89" s="493"/>
    </row>
    <row r="90" spans="23:197" ht="15.75" customHeight="1" x14ac:dyDescent="0.25">
      <c r="W90" s="492"/>
      <c r="Y90" s="444"/>
      <c r="Z90" s="426"/>
      <c r="AA90" s="405"/>
      <c r="AC90" s="38"/>
      <c r="AD90" s="426"/>
      <c r="AE90" s="426"/>
      <c r="AF90" s="426"/>
      <c r="AG90" s="469"/>
      <c r="AH90" s="405"/>
      <c r="AJ90" s="445"/>
      <c r="AK90" s="493"/>
      <c r="BK90" s="492"/>
      <c r="BM90" s="444"/>
      <c r="BN90" s="426"/>
      <c r="BO90" s="405"/>
      <c r="BQ90" s="38"/>
      <c r="BR90" s="426"/>
      <c r="BS90" s="426"/>
      <c r="BT90" s="426"/>
      <c r="BU90" s="469"/>
      <c r="BV90" s="405"/>
      <c r="BX90" s="445"/>
      <c r="BY90" s="493"/>
      <c r="CY90" s="492"/>
      <c r="DA90" s="444"/>
      <c r="DB90" s="426"/>
      <c r="DC90" s="405"/>
      <c r="DE90" s="38"/>
      <c r="DF90" s="426"/>
      <c r="DG90" s="426"/>
      <c r="DH90" s="426"/>
      <c r="DI90" s="469"/>
      <c r="DJ90" s="405"/>
      <c r="DL90" s="445"/>
      <c r="DM90" s="493"/>
      <c r="EM90" s="492"/>
      <c r="EO90" s="444"/>
      <c r="EP90" s="426"/>
      <c r="EQ90" s="405"/>
      <c r="ES90" s="38"/>
      <c r="ET90" s="426"/>
      <c r="EU90" s="426"/>
      <c r="EV90" s="426"/>
      <c r="EW90" s="469"/>
      <c r="EX90" s="405"/>
      <c r="EZ90" s="445"/>
      <c r="FA90" s="493"/>
      <c r="GA90" s="492"/>
      <c r="GC90" s="444"/>
      <c r="GD90" s="426"/>
      <c r="GE90" s="405"/>
      <c r="GG90" s="38"/>
      <c r="GH90" s="426"/>
      <c r="GI90" s="426"/>
      <c r="GJ90" s="426"/>
      <c r="GK90" s="469"/>
      <c r="GL90" s="405"/>
      <c r="GN90" s="445"/>
      <c r="GO90" s="493"/>
    </row>
    <row r="91" spans="23:197" ht="15.75" customHeight="1" x14ac:dyDescent="0.25">
      <c r="W91" s="492"/>
      <c r="Y91" s="444"/>
      <c r="Z91" s="426"/>
      <c r="AA91" s="405"/>
      <c r="AC91" s="38"/>
      <c r="AD91" s="426"/>
      <c r="AE91" s="426"/>
      <c r="AF91" s="426"/>
      <c r="AJ91" s="445"/>
      <c r="AK91" s="493"/>
      <c r="BK91" s="492"/>
      <c r="BM91" s="444"/>
      <c r="BN91" s="426"/>
      <c r="BO91" s="405"/>
      <c r="BQ91" s="38"/>
      <c r="BR91" s="426"/>
      <c r="BS91" s="426"/>
      <c r="BT91" s="426"/>
      <c r="BX91" s="445"/>
      <c r="BY91" s="493"/>
      <c r="CY91" s="492"/>
      <c r="DA91" s="444"/>
      <c r="DB91" s="426"/>
      <c r="DC91" s="405"/>
      <c r="DE91" s="38"/>
      <c r="DF91" s="426"/>
      <c r="DG91" s="426"/>
      <c r="DH91" s="426"/>
      <c r="DL91" s="445"/>
      <c r="DM91" s="493"/>
      <c r="EM91" s="492"/>
      <c r="EO91" s="444"/>
      <c r="EP91" s="426"/>
      <c r="EQ91" s="405"/>
      <c r="ES91" s="38"/>
      <c r="ET91" s="426"/>
      <c r="EU91" s="426"/>
      <c r="EV91" s="426"/>
      <c r="EZ91" s="445"/>
      <c r="FA91" s="493"/>
      <c r="GA91" s="492"/>
      <c r="GC91" s="444"/>
      <c r="GD91" s="426"/>
      <c r="GE91" s="405"/>
      <c r="GG91" s="38"/>
      <c r="GH91" s="426"/>
      <c r="GI91" s="426"/>
      <c r="GJ91" s="426"/>
      <c r="GN91" s="445"/>
      <c r="GO91" s="493"/>
    </row>
    <row r="92" spans="23:197" ht="15.75" customHeight="1" x14ac:dyDescent="0.25">
      <c r="W92" s="492"/>
      <c r="Y92" s="444"/>
      <c r="Z92" s="426"/>
      <c r="AA92" s="405"/>
      <c r="AC92" s="38"/>
      <c r="AD92" s="38"/>
      <c r="AE92" s="38"/>
      <c r="AJ92" s="445"/>
      <c r="AK92" s="493"/>
      <c r="BK92" s="492"/>
      <c r="BM92" s="444"/>
      <c r="BN92" s="426"/>
      <c r="BO92" s="405"/>
      <c r="BQ92" s="38"/>
      <c r="BR92" s="38"/>
      <c r="BS92" s="38"/>
      <c r="BX92" s="445"/>
      <c r="BY92" s="493"/>
      <c r="CY92" s="492"/>
      <c r="DA92" s="444"/>
      <c r="DB92" s="426"/>
      <c r="DC92" s="405"/>
      <c r="DE92" s="38"/>
      <c r="DF92" s="38"/>
      <c r="DG92" s="38"/>
      <c r="DL92" s="445"/>
      <c r="DM92" s="493"/>
      <c r="EM92" s="492"/>
      <c r="EO92" s="444"/>
      <c r="EP92" s="426"/>
      <c r="EQ92" s="405"/>
      <c r="ES92" s="38"/>
      <c r="ET92" s="38"/>
      <c r="EU92" s="38"/>
      <c r="EZ92" s="445"/>
      <c r="FA92" s="493"/>
      <c r="GA92" s="492"/>
      <c r="GC92" s="444"/>
      <c r="GD92" s="426"/>
      <c r="GE92" s="405"/>
      <c r="GG92" s="38"/>
      <c r="GH92" s="38"/>
      <c r="GI92" s="38"/>
      <c r="GN92" s="445"/>
      <c r="GO92" s="493"/>
    </row>
    <row r="93" spans="23:197" x14ac:dyDescent="0.25">
      <c r="W93" s="492"/>
      <c r="Y93" s="444"/>
      <c r="Z93" s="426"/>
      <c r="AA93" s="405"/>
      <c r="AC93" s="38"/>
      <c r="AD93" s="38"/>
      <c r="AE93" s="38"/>
      <c r="AJ93" s="445"/>
      <c r="AK93" s="493"/>
      <c r="BK93" s="492"/>
      <c r="BM93" s="444"/>
      <c r="BN93" s="426"/>
      <c r="BO93" s="405"/>
      <c r="BQ93" s="38"/>
      <c r="BR93" s="38"/>
      <c r="BS93" s="38"/>
      <c r="BX93" s="445"/>
      <c r="BY93" s="493"/>
      <c r="CY93" s="492"/>
      <c r="DA93" s="444"/>
      <c r="DB93" s="426"/>
      <c r="DC93" s="405"/>
      <c r="DE93" s="38"/>
      <c r="DF93" s="38"/>
      <c r="DG93" s="38"/>
      <c r="DL93" s="445"/>
      <c r="DM93" s="493"/>
      <c r="EM93" s="492"/>
      <c r="EO93" s="444"/>
      <c r="EP93" s="426"/>
      <c r="EQ93" s="405"/>
      <c r="ES93" s="38"/>
      <c r="ET93" s="38"/>
      <c r="EU93" s="38"/>
      <c r="EZ93" s="445"/>
      <c r="FA93" s="493"/>
      <c r="GA93" s="492"/>
      <c r="GC93" s="444"/>
      <c r="GD93" s="426"/>
      <c r="GE93" s="405"/>
      <c r="GG93" s="38"/>
      <c r="GH93" s="38"/>
      <c r="GI93" s="38"/>
      <c r="GN93" s="445"/>
      <c r="GO93" s="493"/>
    </row>
    <row r="94" spans="23:197" x14ac:dyDescent="0.25">
      <c r="W94" s="492"/>
      <c r="Y94" s="444"/>
      <c r="Z94" s="426"/>
      <c r="AA94" s="405"/>
      <c r="AC94" s="38"/>
      <c r="AD94" s="38"/>
      <c r="AE94" s="38"/>
      <c r="AJ94" s="445"/>
      <c r="AK94" s="493"/>
      <c r="BK94" s="492"/>
      <c r="BM94" s="444"/>
      <c r="BN94" s="426"/>
      <c r="BO94" s="405"/>
      <c r="BQ94" s="38"/>
      <c r="BR94" s="38"/>
      <c r="BS94" s="38"/>
      <c r="BX94" s="445"/>
      <c r="BY94" s="493"/>
      <c r="CY94" s="492"/>
      <c r="DA94" s="444"/>
      <c r="DB94" s="426"/>
      <c r="DC94" s="405"/>
      <c r="DE94" s="38"/>
      <c r="DF94" s="38"/>
      <c r="DG94" s="38"/>
      <c r="DL94" s="445"/>
      <c r="DM94" s="493"/>
      <c r="EM94" s="492"/>
      <c r="EO94" s="444"/>
      <c r="EP94" s="426"/>
      <c r="EQ94" s="405"/>
      <c r="ES94" s="38"/>
      <c r="ET94" s="38"/>
      <c r="EU94" s="38"/>
      <c r="EZ94" s="445"/>
      <c r="FA94" s="493"/>
      <c r="GA94" s="492"/>
      <c r="GC94" s="444"/>
      <c r="GD94" s="426"/>
      <c r="GE94" s="405"/>
      <c r="GG94" s="38"/>
      <c r="GH94" s="38"/>
      <c r="GI94" s="38"/>
      <c r="GN94" s="445"/>
      <c r="GO94" s="493"/>
    </row>
    <row r="95" spans="23:197" x14ac:dyDescent="0.25">
      <c r="W95" s="492"/>
      <c r="Y95" s="444"/>
      <c r="Z95" s="426"/>
      <c r="AA95" s="405"/>
      <c r="AC95" s="38"/>
      <c r="AD95" s="38"/>
      <c r="AE95" s="38"/>
      <c r="AJ95" s="445"/>
      <c r="AK95" s="493"/>
      <c r="BK95" s="492"/>
      <c r="BM95" s="444"/>
      <c r="BN95" s="426"/>
      <c r="BO95" s="405"/>
      <c r="BQ95" s="38"/>
      <c r="BR95" s="38"/>
      <c r="BS95" s="38"/>
      <c r="BX95" s="445"/>
      <c r="BY95" s="493"/>
      <c r="CY95" s="492"/>
      <c r="DA95" s="444"/>
      <c r="DB95" s="426"/>
      <c r="DC95" s="405"/>
      <c r="DE95" s="38"/>
      <c r="DF95" s="38"/>
      <c r="DG95" s="38"/>
      <c r="DL95" s="445"/>
      <c r="DM95" s="493"/>
      <c r="EM95" s="492"/>
      <c r="EO95" s="444"/>
      <c r="EP95" s="426"/>
      <c r="EQ95" s="405"/>
      <c r="ES95" s="38"/>
      <c r="ET95" s="38"/>
      <c r="EU95" s="38"/>
      <c r="EZ95" s="445"/>
      <c r="FA95" s="493"/>
      <c r="GA95" s="492"/>
      <c r="GC95" s="444"/>
      <c r="GD95" s="426"/>
      <c r="GE95" s="405"/>
      <c r="GG95" s="38"/>
      <c r="GH95" s="38"/>
      <c r="GI95" s="38"/>
      <c r="GN95" s="445"/>
      <c r="GO95" s="493"/>
    </row>
    <row r="96" spans="23:197" x14ac:dyDescent="0.25">
      <c r="W96" s="492"/>
      <c r="Y96" s="444"/>
      <c r="Z96" s="426"/>
      <c r="AA96" s="405"/>
      <c r="AC96" s="38"/>
      <c r="AD96" s="38"/>
      <c r="AE96" s="38"/>
      <c r="AJ96" s="445"/>
      <c r="AK96" s="493"/>
      <c r="BK96" s="492"/>
      <c r="BM96" s="444"/>
      <c r="BN96" s="426"/>
      <c r="BO96" s="405"/>
      <c r="BQ96" s="38"/>
      <c r="BR96" s="38"/>
      <c r="BS96" s="38"/>
      <c r="BX96" s="445"/>
      <c r="BY96" s="493"/>
      <c r="CY96" s="492"/>
      <c r="DA96" s="444"/>
      <c r="DB96" s="426"/>
      <c r="DC96" s="405"/>
      <c r="DE96" s="38"/>
      <c r="DF96" s="38"/>
      <c r="DG96" s="38"/>
      <c r="DL96" s="445"/>
      <c r="DM96" s="493"/>
      <c r="EM96" s="492"/>
      <c r="EO96" s="444"/>
      <c r="EP96" s="426"/>
      <c r="EQ96" s="405"/>
      <c r="ES96" s="38"/>
      <c r="ET96" s="38"/>
      <c r="EU96" s="38"/>
      <c r="EZ96" s="445"/>
      <c r="FA96" s="493"/>
      <c r="GA96" s="492"/>
      <c r="GC96" s="444"/>
      <c r="GD96" s="426"/>
      <c r="GE96" s="405"/>
      <c r="GG96" s="38"/>
      <c r="GH96" s="38"/>
      <c r="GI96" s="38"/>
      <c r="GN96" s="445"/>
      <c r="GO96" s="493"/>
    </row>
    <row r="97" spans="23:197" x14ac:dyDescent="0.25">
      <c r="W97" s="492"/>
      <c r="Y97" s="444"/>
      <c r="Z97" s="426"/>
      <c r="AA97" s="405"/>
      <c r="AC97" s="38"/>
      <c r="AD97" s="38"/>
      <c r="AE97" s="38"/>
      <c r="AJ97" s="445"/>
      <c r="AK97" s="493"/>
      <c r="BK97" s="492"/>
      <c r="BM97" s="444"/>
      <c r="BN97" s="426"/>
      <c r="BO97" s="405"/>
      <c r="BQ97" s="38"/>
      <c r="BR97" s="38"/>
      <c r="BS97" s="38"/>
      <c r="BX97" s="445"/>
      <c r="BY97" s="493"/>
      <c r="CY97" s="492"/>
      <c r="DA97" s="444"/>
      <c r="DB97" s="426"/>
      <c r="DC97" s="405"/>
      <c r="DE97" s="38"/>
      <c r="DF97" s="38"/>
      <c r="DG97" s="38"/>
      <c r="DL97" s="445"/>
      <c r="DM97" s="493"/>
      <c r="EM97" s="492"/>
      <c r="EO97" s="444"/>
      <c r="EP97" s="426"/>
      <c r="EQ97" s="405"/>
      <c r="ES97" s="38"/>
      <c r="ET97" s="38"/>
      <c r="EU97" s="38"/>
      <c r="EZ97" s="445"/>
      <c r="FA97" s="493"/>
      <c r="GA97" s="492"/>
      <c r="GC97" s="444"/>
      <c r="GD97" s="426"/>
      <c r="GE97" s="405"/>
      <c r="GG97" s="38"/>
      <c r="GH97" s="38"/>
      <c r="GI97" s="38"/>
      <c r="GN97" s="445"/>
      <c r="GO97" s="493"/>
    </row>
    <row r="98" spans="23:197" x14ac:dyDescent="0.25">
      <c r="W98" s="492"/>
      <c r="Y98" s="444"/>
      <c r="Z98" s="426"/>
      <c r="AA98" s="405"/>
      <c r="AC98" s="38"/>
      <c r="AD98" s="38"/>
      <c r="AE98" s="38"/>
      <c r="AJ98" s="445"/>
      <c r="AK98" s="493"/>
      <c r="BK98" s="492"/>
      <c r="BM98" s="444"/>
      <c r="BN98" s="426"/>
      <c r="BO98" s="405"/>
      <c r="BQ98" s="38"/>
      <c r="BR98" s="38"/>
      <c r="BS98" s="38"/>
      <c r="BX98" s="445"/>
      <c r="BY98" s="493"/>
      <c r="CY98" s="492"/>
      <c r="DA98" s="444"/>
      <c r="DB98" s="426"/>
      <c r="DC98" s="405"/>
      <c r="DE98" s="38"/>
      <c r="DF98" s="38"/>
      <c r="DG98" s="38"/>
      <c r="DL98" s="445"/>
      <c r="DM98" s="493"/>
      <c r="EM98" s="492"/>
      <c r="EO98" s="444"/>
      <c r="EP98" s="426"/>
      <c r="EQ98" s="405"/>
      <c r="ES98" s="38"/>
      <c r="ET98" s="38"/>
      <c r="EU98" s="38"/>
      <c r="EZ98" s="445"/>
      <c r="FA98" s="493"/>
      <c r="GA98" s="492"/>
      <c r="GC98" s="444"/>
      <c r="GD98" s="426"/>
      <c r="GE98" s="405"/>
      <c r="GG98" s="38"/>
      <c r="GH98" s="38"/>
      <c r="GI98" s="38"/>
      <c r="GN98" s="445"/>
      <c r="GO98" s="493"/>
    </row>
    <row r="99" spans="23:197" x14ac:dyDescent="0.25">
      <c r="W99" s="492"/>
      <c r="Y99" s="444"/>
      <c r="Z99" s="426"/>
      <c r="AA99" s="405"/>
      <c r="AC99" s="38"/>
      <c r="AD99" s="38"/>
      <c r="AJ99" s="445"/>
      <c r="AK99" s="493"/>
      <c r="BK99" s="492"/>
      <c r="BM99" s="444"/>
      <c r="BN99" s="426"/>
      <c r="BO99" s="405"/>
      <c r="BQ99" s="38"/>
      <c r="BR99" s="38"/>
      <c r="BX99" s="445"/>
      <c r="BY99" s="493"/>
      <c r="CY99" s="492"/>
      <c r="DA99" s="444"/>
      <c r="DB99" s="426"/>
      <c r="DC99" s="405"/>
      <c r="DE99" s="38"/>
      <c r="DF99" s="38"/>
      <c r="DL99" s="445"/>
      <c r="DM99" s="493"/>
      <c r="EM99" s="492"/>
      <c r="EO99" s="444"/>
      <c r="EP99" s="426"/>
      <c r="EQ99" s="405"/>
      <c r="ES99" s="38"/>
      <c r="ET99" s="38"/>
      <c r="EZ99" s="445"/>
      <c r="FA99" s="493"/>
      <c r="GA99" s="492"/>
      <c r="GC99" s="444"/>
      <c r="GD99" s="426"/>
      <c r="GE99" s="405"/>
      <c r="GG99" s="38"/>
      <c r="GH99" s="38"/>
      <c r="GN99" s="445"/>
      <c r="GO99" s="493"/>
    </row>
    <row r="100" spans="23:197" x14ac:dyDescent="0.25">
      <c r="W100" s="492"/>
      <c r="Y100" s="446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9"/>
      <c r="AK100" s="493"/>
      <c r="BK100" s="492"/>
      <c r="BM100" s="446"/>
      <c r="BN100" s="447"/>
      <c r="BO100" s="447"/>
      <c r="BP100" s="447"/>
      <c r="BQ100" s="447"/>
      <c r="BR100" s="447"/>
      <c r="BS100" s="447"/>
      <c r="BT100" s="447"/>
      <c r="BU100" s="447"/>
      <c r="BV100" s="447"/>
      <c r="BW100" s="447"/>
      <c r="BX100" s="449"/>
      <c r="BY100" s="493"/>
      <c r="CY100" s="492"/>
      <c r="DA100" s="446"/>
      <c r="DB100" s="447"/>
      <c r="DC100" s="447"/>
      <c r="DD100" s="447"/>
      <c r="DE100" s="447"/>
      <c r="DF100" s="447"/>
      <c r="DG100" s="447"/>
      <c r="DH100" s="447"/>
      <c r="DI100" s="447"/>
      <c r="DJ100" s="447"/>
      <c r="DK100" s="447"/>
      <c r="DL100" s="449"/>
      <c r="DM100" s="493"/>
      <c r="EM100" s="492"/>
      <c r="EO100" s="446"/>
      <c r="EP100" s="447"/>
      <c r="EQ100" s="447"/>
      <c r="ER100" s="447"/>
      <c r="ES100" s="447"/>
      <c r="ET100" s="447"/>
      <c r="EU100" s="447"/>
      <c r="EV100" s="447"/>
      <c r="EW100" s="447"/>
      <c r="EX100" s="447"/>
      <c r="EY100" s="447"/>
      <c r="EZ100" s="449"/>
      <c r="FA100" s="493"/>
      <c r="GA100" s="492"/>
      <c r="GC100" s="446"/>
      <c r="GD100" s="447"/>
      <c r="GE100" s="447"/>
      <c r="GF100" s="447"/>
      <c r="GG100" s="447"/>
      <c r="GH100" s="447"/>
      <c r="GI100" s="447"/>
      <c r="GJ100" s="447"/>
      <c r="GK100" s="447"/>
      <c r="GL100" s="447"/>
      <c r="GM100" s="447"/>
      <c r="GN100" s="449"/>
      <c r="GO100" s="493"/>
    </row>
    <row r="101" spans="23:197" x14ac:dyDescent="0.25">
      <c r="W101" s="492"/>
      <c r="AK101" s="493"/>
      <c r="BK101" s="492"/>
      <c r="BY101" s="493"/>
      <c r="CY101" s="492"/>
      <c r="DM101" s="493"/>
      <c r="EM101" s="492"/>
      <c r="FA101" s="493"/>
      <c r="GA101" s="492"/>
      <c r="GO101" s="493"/>
    </row>
    <row r="102" spans="23:197" x14ac:dyDescent="0.25">
      <c r="W102" s="492"/>
      <c r="AK102" s="493"/>
      <c r="BK102" s="492"/>
      <c r="BY102" s="493"/>
      <c r="CY102" s="492"/>
      <c r="DM102" s="493"/>
      <c r="EM102" s="492"/>
      <c r="FA102" s="493"/>
      <c r="GA102" s="492"/>
      <c r="GO102" s="493"/>
    </row>
    <row r="103" spans="23:197" x14ac:dyDescent="0.25">
      <c r="W103" s="496"/>
      <c r="X103" s="497"/>
      <c r="Y103" s="497"/>
      <c r="Z103" s="497"/>
      <c r="AA103" s="497"/>
      <c r="AB103" s="497"/>
      <c r="AC103" s="497"/>
      <c r="AD103" s="497"/>
      <c r="AE103" s="497"/>
      <c r="AF103" s="497"/>
      <c r="AG103" s="497"/>
      <c r="AH103" s="497"/>
      <c r="AI103" s="497"/>
      <c r="AJ103" s="497"/>
      <c r="AK103" s="498"/>
      <c r="BK103" s="496"/>
      <c r="BL103" s="497"/>
      <c r="BM103" s="497"/>
      <c r="BN103" s="497"/>
      <c r="BO103" s="497"/>
      <c r="BP103" s="497"/>
      <c r="BQ103" s="497"/>
      <c r="BR103" s="497"/>
      <c r="BS103" s="497"/>
      <c r="BT103" s="497"/>
      <c r="BU103" s="497"/>
      <c r="BV103" s="497"/>
      <c r="BW103" s="497"/>
      <c r="BX103" s="497"/>
      <c r="BY103" s="498"/>
      <c r="CY103" s="496"/>
      <c r="CZ103" s="497"/>
      <c r="DA103" s="497"/>
      <c r="DB103" s="497"/>
      <c r="DC103" s="497"/>
      <c r="DD103" s="497"/>
      <c r="DE103" s="497"/>
      <c r="DF103" s="497"/>
      <c r="DG103" s="497"/>
      <c r="DH103" s="497"/>
      <c r="DI103" s="497"/>
      <c r="DJ103" s="497"/>
      <c r="DK103" s="497"/>
      <c r="DL103" s="497"/>
      <c r="DM103" s="498"/>
      <c r="EM103" s="496"/>
      <c r="EN103" s="497"/>
      <c r="EO103" s="497"/>
      <c r="EP103" s="497"/>
      <c r="EQ103" s="497"/>
      <c r="ER103" s="497"/>
      <c r="ES103" s="497"/>
      <c r="ET103" s="497"/>
      <c r="EU103" s="497"/>
      <c r="EV103" s="497"/>
      <c r="EW103" s="497"/>
      <c r="EX103" s="497"/>
      <c r="EY103" s="497"/>
      <c r="EZ103" s="497"/>
      <c r="FA103" s="498"/>
      <c r="GA103" s="496"/>
      <c r="GB103" s="497"/>
      <c r="GC103" s="497"/>
      <c r="GD103" s="497"/>
      <c r="GE103" s="497"/>
      <c r="GF103" s="497"/>
      <c r="GG103" s="497"/>
      <c r="GH103" s="497"/>
      <c r="GI103" s="497"/>
      <c r="GJ103" s="497"/>
      <c r="GK103" s="497"/>
      <c r="GL103" s="497"/>
      <c r="GM103" s="497"/>
      <c r="GN103" s="497"/>
      <c r="GO103" s="498"/>
    </row>
    <row r="120" ht="195" customHeight="1" x14ac:dyDescent="0.25"/>
  </sheetData>
  <mergeCells count="30">
    <mergeCell ref="GG73:GJ73"/>
    <mergeCell ref="GD16:GE16"/>
    <mergeCell ref="GI27:GJ27"/>
    <mergeCell ref="GG33:GJ33"/>
    <mergeCell ref="GG62:GJ62"/>
    <mergeCell ref="GG71:GJ71"/>
    <mergeCell ref="DE71:DH71"/>
    <mergeCell ref="DE73:DH73"/>
    <mergeCell ref="EP16:EQ16"/>
    <mergeCell ref="EU27:EV27"/>
    <mergeCell ref="ES33:EV33"/>
    <mergeCell ref="ES62:EV62"/>
    <mergeCell ref="ES71:EV71"/>
    <mergeCell ref="ES73:EV73"/>
    <mergeCell ref="Z16:AA16"/>
    <mergeCell ref="DB16:DC16"/>
    <mergeCell ref="DG27:DH27"/>
    <mergeCell ref="DE33:DH33"/>
    <mergeCell ref="DE62:DH62"/>
    <mergeCell ref="AC73:AF73"/>
    <mergeCell ref="AC71:AF71"/>
    <mergeCell ref="BN16:BO16"/>
    <mergeCell ref="BS27:BT27"/>
    <mergeCell ref="BQ33:BT33"/>
    <mergeCell ref="BQ62:BT62"/>
    <mergeCell ref="BQ71:BT71"/>
    <mergeCell ref="BQ73:BT73"/>
    <mergeCell ref="AC33:AF33"/>
    <mergeCell ref="AC62:AF62"/>
    <mergeCell ref="AE27:AF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22BB-0661-4288-AA3F-0B59B1307D58}">
  <dimension ref="B2"/>
  <sheetViews>
    <sheetView workbookViewId="0">
      <selection activeCell="B2" sqref="B2"/>
    </sheetView>
  </sheetViews>
  <sheetFormatPr defaultRowHeight="15" x14ac:dyDescent="0.25"/>
  <cols>
    <col min="2" max="2" width="22.5703125" customWidth="1"/>
  </cols>
  <sheetData>
    <row r="2" spans="2:2" x14ac:dyDescent="0.25">
      <c r="B2" s="413" t="s">
        <v>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044F-6FFB-4612-9F36-023E19FD616D}">
  <dimension ref="A2:BE122"/>
  <sheetViews>
    <sheetView showGridLines="0" zoomScale="85" zoomScaleNormal="85" workbookViewId="0">
      <selection activeCell="R24" sqref="R24"/>
    </sheetView>
  </sheetViews>
  <sheetFormatPr defaultRowHeight="15" x14ac:dyDescent="0.25"/>
  <cols>
    <col min="1" max="1" width="4" customWidth="1"/>
    <col min="4" max="4" width="2.28515625" customWidth="1"/>
    <col min="5" max="5" width="3.5703125" customWidth="1"/>
    <col min="6" max="6" width="23.42578125" customWidth="1"/>
    <col min="7" max="7" width="3.85546875" customWidth="1"/>
    <col min="8" max="8" width="2.5703125" customWidth="1"/>
    <col min="9" max="9" width="2.7109375" customWidth="1"/>
    <col min="10" max="10" width="25.28515625" customWidth="1"/>
    <col min="11" max="11" width="4.140625" customWidth="1"/>
    <col min="12" max="12" width="2" customWidth="1"/>
    <col min="13" max="13" width="3.140625" customWidth="1"/>
    <col min="14" max="14" width="23.42578125" customWidth="1"/>
    <col min="15" max="15" width="3.42578125" customWidth="1"/>
    <col min="16" max="16" width="2.42578125" customWidth="1"/>
    <col min="17" max="17" width="2.5703125" customWidth="1"/>
    <col min="18" max="18" width="23.42578125" customWidth="1"/>
    <col min="19" max="19" width="2.5703125" customWidth="1"/>
    <col min="20" max="20" width="3.85546875" customWidth="1"/>
    <col min="21" max="21" width="2.85546875" customWidth="1"/>
    <col min="23" max="23" width="4.28515625" customWidth="1"/>
    <col min="25" max="25" width="3.7109375" customWidth="1"/>
    <col min="26" max="26" width="8.5703125" customWidth="1"/>
    <col min="27" max="27" width="40.140625" customWidth="1"/>
    <col min="28" max="28" width="24.5703125" customWidth="1"/>
    <col min="29" max="31" width="11" customWidth="1"/>
    <col min="32" max="32" width="24.5703125" customWidth="1"/>
    <col min="33" max="33" width="9.42578125" customWidth="1"/>
    <col min="40" max="40" width="2.28515625" customWidth="1"/>
    <col min="41" max="41" width="3.5703125" customWidth="1"/>
    <col min="42" max="42" width="23.28515625" customWidth="1"/>
    <col min="43" max="43" width="3.85546875" customWidth="1"/>
    <col min="44" max="44" width="2.5703125" customWidth="1"/>
    <col min="45" max="45" width="2.7109375" customWidth="1"/>
    <col min="46" max="46" width="23.28515625" customWidth="1"/>
    <col min="47" max="47" width="4.140625" customWidth="1"/>
    <col min="48" max="48" width="2" customWidth="1"/>
    <col min="49" max="49" width="3.140625" customWidth="1"/>
    <col min="50" max="50" width="23.28515625" customWidth="1"/>
    <col min="51" max="51" width="3.42578125" customWidth="1"/>
    <col min="52" max="52" width="2.42578125" customWidth="1"/>
    <col min="53" max="53" width="2.5703125" customWidth="1"/>
    <col min="54" max="54" width="23.5703125" customWidth="1"/>
    <col min="55" max="55" width="2.5703125" customWidth="1"/>
    <col min="56" max="56" width="3.85546875" customWidth="1"/>
    <col min="57" max="57" width="2.85546875" customWidth="1"/>
  </cols>
  <sheetData>
    <row r="2" spans="3:57" ht="24.75" customHeight="1" x14ac:dyDescent="0.25">
      <c r="C2" s="257"/>
      <c r="D2" s="258"/>
      <c r="E2" s="258"/>
      <c r="F2" s="257"/>
      <c r="G2" s="258"/>
      <c r="H2" s="259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W2" s="257"/>
      <c r="X2" s="258"/>
      <c r="Y2" s="257"/>
      <c r="Z2" s="258"/>
      <c r="AA2" s="259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M2" s="257"/>
      <c r="AN2" s="258"/>
      <c r="AO2" s="258"/>
      <c r="AP2" s="257"/>
      <c r="AQ2" s="258"/>
      <c r="AR2" s="259"/>
      <c r="AS2" s="257"/>
      <c r="AT2" s="257"/>
      <c r="AU2" s="257"/>
      <c r="AV2" s="257"/>
      <c r="AW2" s="257"/>
      <c r="AX2" s="257"/>
      <c r="AY2" s="257"/>
      <c r="AZ2" s="257"/>
      <c r="BA2" s="257"/>
      <c r="BB2" s="257"/>
      <c r="BC2" s="257"/>
      <c r="BD2" s="257"/>
      <c r="BE2" s="257"/>
    </row>
    <row r="4" spans="3:57" x14ac:dyDescent="0.25">
      <c r="AL4" s="5"/>
    </row>
    <row r="6" spans="3:57" ht="8.25" customHeight="1" x14ac:dyDescent="0.25"/>
    <row r="7" spans="3:57" x14ac:dyDescent="0.25">
      <c r="C7" s="307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  <c r="U7" s="309"/>
      <c r="W7" s="307"/>
      <c r="X7" s="308"/>
      <c r="Y7" s="308"/>
      <c r="Z7" s="308"/>
      <c r="AA7" s="308"/>
      <c r="AB7" s="308"/>
      <c r="AC7" s="308"/>
      <c r="AD7" s="308"/>
      <c r="AE7" s="308"/>
      <c r="AF7" s="308"/>
      <c r="AG7" s="308"/>
      <c r="AH7" s="308"/>
      <c r="AI7" s="308"/>
      <c r="AJ7" s="308"/>
      <c r="AK7" s="309"/>
      <c r="AM7" s="307"/>
      <c r="AN7" s="308"/>
      <c r="AO7" s="308"/>
      <c r="AP7" s="308"/>
      <c r="AQ7" s="308"/>
      <c r="AR7" s="308"/>
      <c r="AS7" s="308"/>
      <c r="AT7" s="308"/>
      <c r="AU7" s="308"/>
      <c r="AV7" s="308"/>
      <c r="AW7" s="308"/>
      <c r="AX7" s="308"/>
      <c r="AY7" s="308"/>
      <c r="AZ7" s="308"/>
      <c r="BA7" s="308"/>
      <c r="BB7" s="308"/>
      <c r="BC7" s="308"/>
      <c r="BD7" s="308"/>
      <c r="BE7" s="309"/>
    </row>
    <row r="8" spans="3:57" x14ac:dyDescent="0.25">
      <c r="C8" s="310"/>
      <c r="U8" s="311"/>
      <c r="W8" s="310"/>
      <c r="AK8" s="311"/>
      <c r="AM8" s="310"/>
      <c r="BE8" s="311"/>
    </row>
    <row r="9" spans="3:57" x14ac:dyDescent="0.25">
      <c r="C9" s="310"/>
      <c r="U9" s="311"/>
      <c r="W9" s="310"/>
      <c r="AK9" s="311"/>
      <c r="AM9" s="310"/>
      <c r="BE9" s="311"/>
    </row>
    <row r="10" spans="3:57" x14ac:dyDescent="0.25">
      <c r="C10" s="310"/>
      <c r="U10" s="311"/>
      <c r="W10" s="310"/>
      <c r="AK10" s="311"/>
      <c r="AM10" s="310"/>
      <c r="BE10" s="311"/>
    </row>
    <row r="11" spans="3:57" x14ac:dyDescent="0.25">
      <c r="C11" s="310"/>
      <c r="U11" s="311"/>
      <c r="W11" s="310"/>
      <c r="AK11" s="311"/>
      <c r="AM11" s="310"/>
      <c r="BE11" s="311"/>
    </row>
    <row r="12" spans="3:57" x14ac:dyDescent="0.25">
      <c r="C12" s="310"/>
      <c r="D12" s="289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1"/>
      <c r="U12" s="311"/>
      <c r="W12" s="310"/>
      <c r="Y12" s="353"/>
      <c r="Z12" s="354"/>
      <c r="AA12" s="354"/>
      <c r="AB12" s="354"/>
      <c r="AC12" s="354"/>
      <c r="AD12" s="354"/>
      <c r="AE12" s="354"/>
      <c r="AF12" s="354"/>
      <c r="AG12" s="354"/>
      <c r="AH12" s="354"/>
      <c r="AI12" s="354"/>
      <c r="AJ12" s="355"/>
      <c r="AK12" s="311"/>
      <c r="AM12" s="310"/>
      <c r="AN12" s="289"/>
      <c r="AO12" s="290"/>
      <c r="AP12" s="290"/>
      <c r="AQ12" s="290"/>
      <c r="AR12" s="290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1"/>
      <c r="BE12" s="311"/>
    </row>
    <row r="13" spans="3:57" ht="18" thickBot="1" x14ac:dyDescent="0.35">
      <c r="C13" s="310"/>
      <c r="D13" s="292"/>
      <c r="E13" s="289"/>
      <c r="F13" s="290"/>
      <c r="G13" s="302"/>
      <c r="H13" s="283"/>
      <c r="I13" s="289"/>
      <c r="J13" s="290"/>
      <c r="K13" s="291"/>
      <c r="M13" s="289"/>
      <c r="N13" s="290"/>
      <c r="O13" s="291"/>
      <c r="Q13" s="289"/>
      <c r="R13" s="290"/>
      <c r="S13" s="291"/>
      <c r="T13" s="293"/>
      <c r="U13" s="311"/>
      <c r="W13" s="310"/>
      <c r="Y13" s="356"/>
      <c r="Z13" s="644" t="s">
        <v>435</v>
      </c>
      <c r="AA13" s="645"/>
      <c r="AJ13" s="357"/>
      <c r="AK13" s="311"/>
      <c r="AM13" s="310"/>
      <c r="AN13" s="292"/>
      <c r="AO13" s="289"/>
      <c r="AP13" s="290"/>
      <c r="AQ13" s="302"/>
      <c r="AR13" s="283"/>
      <c r="AS13" s="289"/>
      <c r="AT13" s="290"/>
      <c r="AU13" s="291"/>
      <c r="AW13" s="289"/>
      <c r="AX13" s="290"/>
      <c r="AY13" s="291"/>
      <c r="BA13" s="289"/>
      <c r="BB13" s="290"/>
      <c r="BC13" s="291"/>
      <c r="BD13" s="293"/>
      <c r="BE13" s="311"/>
    </row>
    <row r="14" spans="3:57" ht="15" customHeight="1" x14ac:dyDescent="0.25">
      <c r="C14" s="310"/>
      <c r="D14" s="292"/>
      <c r="E14" s="292"/>
      <c r="F14" s="646" t="s">
        <v>436</v>
      </c>
      <c r="G14" s="293"/>
      <c r="I14" s="292"/>
      <c r="J14" s="646" t="s">
        <v>437</v>
      </c>
      <c r="K14" s="293"/>
      <c r="M14" s="292"/>
      <c r="N14" s="646" t="s">
        <v>438</v>
      </c>
      <c r="O14" s="293"/>
      <c r="Q14" s="292"/>
      <c r="R14" s="646" t="s">
        <v>439</v>
      </c>
      <c r="S14" s="293"/>
      <c r="T14" s="293"/>
      <c r="U14" s="311"/>
      <c r="W14" s="310"/>
      <c r="Y14" s="356"/>
      <c r="Z14" s="340" t="s">
        <v>362</v>
      </c>
      <c r="AA14" s="341" t="s">
        <v>363</v>
      </c>
      <c r="AJ14" s="357"/>
      <c r="AK14" s="311"/>
      <c r="AM14" s="310"/>
      <c r="AN14" s="292"/>
      <c r="AO14" s="292"/>
      <c r="AP14" s="649" t="s">
        <v>436</v>
      </c>
      <c r="AQ14" s="293"/>
      <c r="AS14" s="292"/>
      <c r="AT14" s="649" t="s">
        <v>440</v>
      </c>
      <c r="AU14" s="293"/>
      <c r="AW14" s="292"/>
      <c r="AX14" s="649" t="s">
        <v>438</v>
      </c>
      <c r="AY14" s="293"/>
      <c r="BA14" s="292"/>
      <c r="BB14" s="649" t="s">
        <v>439</v>
      </c>
      <c r="BC14" s="293"/>
      <c r="BD14" s="293"/>
      <c r="BE14" s="311"/>
    </row>
    <row r="15" spans="3:57" x14ac:dyDescent="0.25">
      <c r="C15" s="310"/>
      <c r="D15" s="292"/>
      <c r="E15" s="292"/>
      <c r="F15" s="647"/>
      <c r="G15" s="293"/>
      <c r="I15" s="292"/>
      <c r="J15" s="647"/>
      <c r="K15" s="303"/>
      <c r="M15" s="292"/>
      <c r="N15" s="647"/>
      <c r="O15" s="293"/>
      <c r="Q15" s="292"/>
      <c r="R15" s="647"/>
      <c r="S15" s="293"/>
      <c r="T15" s="293"/>
      <c r="U15" s="311"/>
      <c r="W15" s="310"/>
      <c r="Y15" s="356"/>
      <c r="Z15" s="340" t="s">
        <v>366</v>
      </c>
      <c r="AA15" s="341" t="s">
        <v>367</v>
      </c>
      <c r="AJ15" s="357"/>
      <c r="AK15" s="311"/>
      <c r="AM15" s="310"/>
      <c r="AN15" s="292"/>
      <c r="AO15" s="292"/>
      <c r="AP15" s="650"/>
      <c r="AQ15" s="293"/>
      <c r="AS15" s="292"/>
      <c r="AT15" s="650"/>
      <c r="AU15" s="303"/>
      <c r="AW15" s="292"/>
      <c r="AX15" s="650"/>
      <c r="AY15" s="293"/>
      <c r="BA15" s="292"/>
      <c r="BB15" s="650"/>
      <c r="BC15" s="293"/>
      <c r="BD15" s="293"/>
      <c r="BE15" s="311"/>
    </row>
    <row r="16" spans="3:57" x14ac:dyDescent="0.25">
      <c r="C16" s="310"/>
      <c r="D16" s="292"/>
      <c r="E16" s="292"/>
      <c r="F16" s="647"/>
      <c r="G16" s="293"/>
      <c r="I16" s="292"/>
      <c r="J16" s="647"/>
      <c r="K16" s="293"/>
      <c r="M16" s="292"/>
      <c r="N16" s="647"/>
      <c r="O16" s="293"/>
      <c r="Q16" s="292"/>
      <c r="R16" s="647"/>
      <c r="S16" s="293"/>
      <c r="T16" s="293"/>
      <c r="U16" s="311"/>
      <c r="W16" s="310"/>
      <c r="Y16" s="356"/>
      <c r="Z16" s="342" t="s">
        <v>315</v>
      </c>
      <c r="AA16" s="343" t="s">
        <v>441</v>
      </c>
      <c r="AJ16" s="357"/>
      <c r="AK16" s="311"/>
      <c r="AM16" s="310"/>
      <c r="AN16" s="292"/>
      <c r="AO16" s="292"/>
      <c r="AP16" s="650"/>
      <c r="AQ16" s="293"/>
      <c r="AS16" s="292"/>
      <c r="AT16" s="650"/>
      <c r="AU16" s="293"/>
      <c r="AW16" s="292"/>
      <c r="AX16" s="650"/>
      <c r="AY16" s="293"/>
      <c r="BA16" s="292"/>
      <c r="BB16" s="650"/>
      <c r="BC16" s="293"/>
      <c r="BD16" s="293"/>
      <c r="BE16" s="311"/>
    </row>
    <row r="17" spans="3:57" ht="13.5" customHeight="1" thickBot="1" x14ac:dyDescent="0.3">
      <c r="C17" s="310"/>
      <c r="D17" s="292"/>
      <c r="E17" s="292"/>
      <c r="F17" s="648"/>
      <c r="G17" s="293"/>
      <c r="I17" s="292"/>
      <c r="J17" s="648"/>
      <c r="K17" s="293"/>
      <c r="M17" s="292"/>
      <c r="N17" s="648"/>
      <c r="O17" s="293"/>
      <c r="Q17" s="292"/>
      <c r="R17" s="648"/>
      <c r="S17" s="293"/>
      <c r="T17" s="293"/>
      <c r="U17" s="311"/>
      <c r="W17" s="310"/>
      <c r="Y17" s="356"/>
      <c r="AJ17" s="357"/>
      <c r="AK17" s="311"/>
      <c r="AM17" s="310"/>
      <c r="AN17" s="292"/>
      <c r="AO17" s="292"/>
      <c r="AP17" s="651"/>
      <c r="AQ17" s="293"/>
      <c r="AS17" s="292"/>
      <c r="AT17" s="651"/>
      <c r="AU17" s="293"/>
      <c r="AW17" s="292"/>
      <c r="AX17" s="651"/>
      <c r="AY17" s="293"/>
      <c r="BA17" s="292"/>
      <c r="BB17" s="651"/>
      <c r="BC17" s="293"/>
      <c r="BD17" s="293"/>
      <c r="BE17" s="311"/>
    </row>
    <row r="18" spans="3:57" ht="19.5" customHeight="1" thickBot="1" x14ac:dyDescent="0.35">
      <c r="C18" s="310"/>
      <c r="D18" s="292"/>
      <c r="E18" s="294"/>
      <c r="F18" s="295"/>
      <c r="G18" s="296"/>
      <c r="I18" s="294"/>
      <c r="J18" s="295"/>
      <c r="K18" s="304"/>
      <c r="L18" s="297"/>
      <c r="M18" s="305"/>
      <c r="N18" s="306"/>
      <c r="O18" s="296"/>
      <c r="Q18" s="305"/>
      <c r="R18" s="306"/>
      <c r="S18" s="296"/>
      <c r="T18" s="293"/>
      <c r="U18" s="311"/>
      <c r="W18" s="310"/>
      <c r="Y18" s="356"/>
      <c r="Z18" s="323" t="s">
        <v>375</v>
      </c>
      <c r="AA18" s="323"/>
      <c r="AJ18" s="357"/>
      <c r="AK18" s="311"/>
      <c r="AM18" s="310"/>
      <c r="AN18" s="292"/>
      <c r="AO18" s="294"/>
      <c r="AP18" s="295"/>
      <c r="AQ18" s="296"/>
      <c r="AS18" s="294"/>
      <c r="AT18" s="295"/>
      <c r="AU18" s="304"/>
      <c r="AV18" s="297"/>
      <c r="AW18" s="305"/>
      <c r="AX18" s="306"/>
      <c r="AY18" s="296"/>
      <c r="BA18" s="305"/>
      <c r="BB18" s="306"/>
      <c r="BC18" s="296"/>
      <c r="BD18" s="293"/>
      <c r="BE18" s="311"/>
    </row>
    <row r="19" spans="3:57" ht="30" x14ac:dyDescent="0.25">
      <c r="C19" s="310"/>
      <c r="D19" s="292"/>
      <c r="I19" s="284"/>
      <c r="J19" s="284"/>
      <c r="K19" s="287"/>
      <c r="L19" s="284"/>
      <c r="M19" s="284"/>
      <c r="N19" s="285"/>
      <c r="O19" s="5"/>
      <c r="P19" s="5"/>
      <c r="Q19" s="5"/>
      <c r="S19" s="290"/>
      <c r="T19" s="293"/>
      <c r="U19" s="311"/>
      <c r="W19" s="310"/>
      <c r="Y19" s="356"/>
      <c r="Z19" s="386" t="s">
        <v>74</v>
      </c>
      <c r="AA19" s="387" t="s">
        <v>376</v>
      </c>
      <c r="AB19" s="387" t="s">
        <v>377</v>
      </c>
      <c r="AC19" s="387" t="s">
        <v>378</v>
      </c>
      <c r="AD19" s="387" t="s">
        <v>379</v>
      </c>
      <c r="AE19" s="652" t="s">
        <v>380</v>
      </c>
      <c r="AF19" s="653"/>
      <c r="AJ19" s="357"/>
      <c r="AK19" s="311"/>
      <c r="AM19" s="310"/>
      <c r="AN19" s="292"/>
      <c r="AS19" s="284"/>
      <c r="AT19" s="284"/>
      <c r="AU19" s="287"/>
      <c r="AV19" s="284"/>
      <c r="AW19" s="284"/>
      <c r="AX19" s="285"/>
      <c r="AY19" s="5"/>
      <c r="AZ19" s="5"/>
      <c r="BA19" s="5"/>
      <c r="BC19" s="290"/>
      <c r="BD19" s="293"/>
      <c r="BE19" s="311"/>
    </row>
    <row r="20" spans="3:57" ht="18.75" customHeight="1" x14ac:dyDescent="0.25">
      <c r="C20" s="310"/>
      <c r="D20" s="292"/>
      <c r="I20" s="287"/>
      <c r="J20" s="654" t="s">
        <v>442</v>
      </c>
      <c r="K20" s="655"/>
      <c r="L20" s="655"/>
      <c r="M20" s="655"/>
      <c r="N20" s="656"/>
      <c r="T20" s="293"/>
      <c r="U20" s="311"/>
      <c r="W20" s="310"/>
      <c r="Y20" s="356"/>
      <c r="Z20" s="388">
        <v>1</v>
      </c>
      <c r="AA20" s="5" t="s">
        <v>443</v>
      </c>
      <c r="AB20" s="5" t="s">
        <v>444</v>
      </c>
      <c r="AC20" s="131" t="s">
        <v>385</v>
      </c>
      <c r="AD20" s="131" t="s">
        <v>385</v>
      </c>
      <c r="AE20" s="363" t="s">
        <v>386</v>
      </c>
      <c r="AF20" s="389"/>
      <c r="AJ20" s="357"/>
      <c r="AK20" s="311"/>
      <c r="AM20" s="310"/>
      <c r="AN20" s="292"/>
      <c r="AS20" s="287"/>
      <c r="AT20" s="660" t="s">
        <v>445</v>
      </c>
      <c r="AU20" s="661"/>
      <c r="AV20" s="661"/>
      <c r="AW20" s="661"/>
      <c r="AX20" s="662"/>
      <c r="BD20" s="293"/>
      <c r="BE20" s="311"/>
    </row>
    <row r="21" spans="3:57" ht="24.75" customHeight="1" x14ac:dyDescent="0.25">
      <c r="C21" s="310"/>
      <c r="D21" s="292"/>
      <c r="J21" s="657"/>
      <c r="K21" s="658"/>
      <c r="L21" s="658"/>
      <c r="M21" s="658"/>
      <c r="N21" s="659"/>
      <c r="T21" s="293"/>
      <c r="U21" s="311"/>
      <c r="W21" s="310"/>
      <c r="Y21" s="356"/>
      <c r="Z21" s="388">
        <v>2</v>
      </c>
      <c r="AA21" s="5" t="s">
        <v>446</v>
      </c>
      <c r="AB21" s="5" t="s">
        <v>383</v>
      </c>
      <c r="AC21" s="131" t="s">
        <v>384</v>
      </c>
      <c r="AD21" s="131" t="s">
        <v>385</v>
      </c>
      <c r="AE21" s="363" t="s">
        <v>386</v>
      </c>
      <c r="AF21" s="389"/>
      <c r="AJ21" s="357"/>
      <c r="AK21" s="311"/>
      <c r="AM21" s="310"/>
      <c r="AN21" s="292"/>
      <c r="AT21" s="663"/>
      <c r="AU21" s="664"/>
      <c r="AV21" s="664"/>
      <c r="AW21" s="664"/>
      <c r="AX21" s="665"/>
      <c r="BD21" s="293"/>
      <c r="BE21" s="311"/>
    </row>
    <row r="22" spans="3:57" ht="24.75" customHeight="1" x14ac:dyDescent="0.25">
      <c r="C22" s="310"/>
      <c r="D22" s="292"/>
      <c r="J22" s="657"/>
      <c r="K22" s="658"/>
      <c r="L22" s="658"/>
      <c r="M22" s="658"/>
      <c r="N22" s="659"/>
      <c r="T22" s="293"/>
      <c r="U22" s="311"/>
      <c r="W22" s="310"/>
      <c r="Y22" s="356"/>
      <c r="Z22" s="388">
        <v>3</v>
      </c>
      <c r="AA22" s="5" t="s">
        <v>447</v>
      </c>
      <c r="AB22" s="5" t="s">
        <v>397</v>
      </c>
      <c r="AC22" s="131" t="s">
        <v>384</v>
      </c>
      <c r="AD22" s="131" t="s">
        <v>384</v>
      </c>
      <c r="AE22" s="363" t="s">
        <v>390</v>
      </c>
      <c r="AF22" s="389"/>
      <c r="AH22" s="5"/>
      <c r="AJ22" s="357"/>
      <c r="AK22" s="311"/>
      <c r="AM22" s="310"/>
      <c r="AN22" s="292"/>
      <c r="AT22" s="663"/>
      <c r="AU22" s="664"/>
      <c r="AV22" s="664"/>
      <c r="AW22" s="664"/>
      <c r="AX22" s="665"/>
      <c r="BD22" s="293"/>
      <c r="BE22" s="311"/>
    </row>
    <row r="23" spans="3:57" ht="24.75" customHeight="1" thickBot="1" x14ac:dyDescent="0.3">
      <c r="C23" s="310"/>
      <c r="D23" s="292"/>
      <c r="J23" s="657"/>
      <c r="K23" s="658"/>
      <c r="L23" s="658"/>
      <c r="M23" s="658"/>
      <c r="N23" s="659"/>
      <c r="T23" s="293"/>
      <c r="U23" s="311"/>
      <c r="W23" s="310"/>
      <c r="Y23" s="356"/>
      <c r="Z23" s="390">
        <v>4</v>
      </c>
      <c r="AA23" s="391" t="s">
        <v>391</v>
      </c>
      <c r="AB23" s="391" t="s">
        <v>397</v>
      </c>
      <c r="AC23" s="392" t="s">
        <v>384</v>
      </c>
      <c r="AD23" s="392" t="s">
        <v>384</v>
      </c>
      <c r="AE23" s="393" t="s">
        <v>392</v>
      </c>
      <c r="AF23" s="394"/>
      <c r="AJ23" s="357"/>
      <c r="AK23" s="311"/>
      <c r="AM23" s="310"/>
      <c r="AN23" s="292"/>
      <c r="AT23" s="663"/>
      <c r="AU23" s="664"/>
      <c r="AV23" s="664"/>
      <c r="AW23" s="664"/>
      <c r="AX23" s="665"/>
      <c r="BD23" s="293"/>
      <c r="BE23" s="311"/>
    </row>
    <row r="24" spans="3:57" ht="24.75" customHeight="1" x14ac:dyDescent="0.25">
      <c r="C24" s="310"/>
      <c r="D24" s="292"/>
      <c r="J24" s="657"/>
      <c r="K24" s="658"/>
      <c r="L24" s="658"/>
      <c r="M24" s="658"/>
      <c r="N24" s="659"/>
      <c r="T24" s="293"/>
      <c r="U24" s="311"/>
      <c r="W24" s="310"/>
      <c r="Y24" s="356"/>
      <c r="AJ24" s="357"/>
      <c r="AK24" s="311"/>
      <c r="AM24" s="310"/>
      <c r="AN24" s="292"/>
      <c r="AT24" s="663"/>
      <c r="AU24" s="664"/>
      <c r="AV24" s="664"/>
      <c r="AW24" s="664"/>
      <c r="AX24" s="665"/>
      <c r="BD24" s="293"/>
      <c r="BE24" s="311"/>
    </row>
    <row r="25" spans="3:57" ht="18.75" customHeight="1" x14ac:dyDescent="0.25">
      <c r="C25" s="310"/>
      <c r="D25" s="292"/>
      <c r="F25" t="s">
        <v>448</v>
      </c>
      <c r="J25" s="318"/>
      <c r="K25" s="669" t="s">
        <v>449</v>
      </c>
      <c r="L25" s="669"/>
      <c r="M25" s="669"/>
      <c r="N25" s="320"/>
      <c r="S25" t="s">
        <v>448</v>
      </c>
      <c r="T25" s="293"/>
      <c r="U25" s="311"/>
      <c r="W25" s="310"/>
      <c r="Y25" s="356"/>
      <c r="Z25" s="670" t="s">
        <v>394</v>
      </c>
      <c r="AA25" s="670"/>
      <c r="AJ25" s="357"/>
      <c r="AK25" s="311"/>
      <c r="AM25" s="310"/>
      <c r="AN25" s="292"/>
      <c r="AP25" t="s">
        <v>448</v>
      </c>
      <c r="AT25" s="318"/>
      <c r="AU25" s="669" t="s">
        <v>449</v>
      </c>
      <c r="AV25" s="669"/>
      <c r="AW25" s="669"/>
      <c r="AX25" s="320"/>
      <c r="BD25" s="293"/>
      <c r="BE25" s="311"/>
    </row>
    <row r="26" spans="3:57" ht="8.25" customHeight="1" x14ac:dyDescent="0.25">
      <c r="C26" s="310"/>
      <c r="D26" s="292"/>
      <c r="G26" s="286"/>
      <c r="H26" s="285"/>
      <c r="J26" s="316"/>
      <c r="K26" s="321"/>
      <c r="L26" s="321"/>
      <c r="M26" s="321"/>
      <c r="N26" s="317"/>
      <c r="T26" s="293"/>
      <c r="U26" s="311"/>
      <c r="W26" s="310"/>
      <c r="Y26" s="356"/>
      <c r="Z26" s="671"/>
      <c r="AA26" s="671"/>
      <c r="AC26" s="9"/>
      <c r="AD26" s="9"/>
      <c r="AJ26" s="357"/>
      <c r="AK26" s="311"/>
      <c r="AM26" s="310"/>
      <c r="AN26" s="292"/>
      <c r="AQ26" s="286"/>
      <c r="AR26" s="285"/>
      <c r="AT26" s="316"/>
      <c r="AU26" s="321"/>
      <c r="AV26" s="321"/>
      <c r="AW26" s="321"/>
      <c r="AX26" s="317"/>
      <c r="BD26" s="293"/>
      <c r="BE26" s="311"/>
    </row>
    <row r="27" spans="3:57" ht="30" x14ac:dyDescent="0.3">
      <c r="C27" s="310"/>
      <c r="D27" s="294"/>
      <c r="E27" s="295"/>
      <c r="F27" s="295"/>
      <c r="G27" s="299"/>
      <c r="H27" s="299"/>
      <c r="I27" s="295"/>
      <c r="J27" s="300"/>
      <c r="K27" s="300"/>
      <c r="L27" s="295"/>
      <c r="M27" s="295"/>
      <c r="N27" s="295"/>
      <c r="O27" s="295"/>
      <c r="P27" s="295"/>
      <c r="Q27" s="295"/>
      <c r="R27" s="295"/>
      <c r="S27" s="295"/>
      <c r="T27" s="296"/>
      <c r="U27" s="311"/>
      <c r="W27" s="310"/>
      <c r="Y27" s="356"/>
      <c r="Z27" s="351" t="s">
        <v>74</v>
      </c>
      <c r="AA27" s="352" t="s">
        <v>376</v>
      </c>
      <c r="AB27" s="352" t="s">
        <v>396</v>
      </c>
      <c r="AC27" s="672" t="s">
        <v>380</v>
      </c>
      <c r="AD27" s="673"/>
      <c r="AE27" s="673"/>
      <c r="AF27" s="674"/>
      <c r="AH27" s="284"/>
      <c r="AI27" s="284"/>
      <c r="AJ27" s="357"/>
      <c r="AK27" s="311"/>
      <c r="AM27" s="310"/>
      <c r="AN27" s="294"/>
      <c r="AO27" s="295"/>
      <c r="AP27" s="295"/>
      <c r="AQ27" s="299"/>
      <c r="AR27" s="299"/>
      <c r="AS27" s="295"/>
      <c r="AT27" s="300"/>
      <c r="AU27" s="300"/>
      <c r="AV27" s="295"/>
      <c r="AW27" s="295"/>
      <c r="AX27" s="295"/>
      <c r="AY27" s="295"/>
      <c r="AZ27" s="295"/>
      <c r="BA27" s="295"/>
      <c r="BB27" s="295"/>
      <c r="BC27" s="295"/>
      <c r="BD27" s="296"/>
      <c r="BE27" s="311"/>
    </row>
    <row r="28" spans="3:57" ht="21.75" customHeight="1" x14ac:dyDescent="0.25">
      <c r="C28" s="312"/>
      <c r="D28" s="313"/>
      <c r="E28" s="313"/>
      <c r="F28" s="313"/>
      <c r="G28" s="313"/>
      <c r="H28" s="313"/>
      <c r="I28" s="313"/>
      <c r="J28" s="313"/>
      <c r="K28" s="313"/>
      <c r="L28" s="313"/>
      <c r="M28" s="313"/>
      <c r="N28" s="313"/>
      <c r="O28" s="313"/>
      <c r="P28" s="313"/>
      <c r="Q28" s="313"/>
      <c r="R28" s="313"/>
      <c r="S28" s="313"/>
      <c r="T28" s="313"/>
      <c r="U28" s="314"/>
      <c r="W28" s="310"/>
      <c r="Y28" s="356"/>
      <c r="Z28" s="345">
        <v>1</v>
      </c>
      <c r="AA28" s="5" t="s">
        <v>450</v>
      </c>
      <c r="AB28" s="5" t="s">
        <v>397</v>
      </c>
      <c r="AC28" s="675" t="s">
        <v>451</v>
      </c>
      <c r="AD28" s="676"/>
      <c r="AE28" s="676"/>
      <c r="AF28" s="677"/>
      <c r="AH28" s="286"/>
      <c r="AI28" s="286"/>
      <c r="AJ28" s="357"/>
      <c r="AK28" s="311"/>
      <c r="AM28" s="312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/>
      <c r="BC28" s="313"/>
      <c r="BD28" s="313"/>
      <c r="BE28" s="314"/>
    </row>
    <row r="29" spans="3:57" x14ac:dyDescent="0.25">
      <c r="W29" s="310"/>
      <c r="Y29" s="356"/>
      <c r="Z29" s="345">
        <v>2</v>
      </c>
      <c r="AA29" s="5" t="s">
        <v>446</v>
      </c>
      <c r="AB29" s="5" t="s">
        <v>397</v>
      </c>
      <c r="AC29" s="675"/>
      <c r="AD29" s="676"/>
      <c r="AE29" s="676"/>
      <c r="AF29" s="677"/>
      <c r="AH29" s="286"/>
      <c r="AI29" s="286"/>
      <c r="AJ29" s="357"/>
      <c r="AK29" s="311"/>
    </row>
    <row r="30" spans="3:57" ht="17.25" customHeight="1" x14ac:dyDescent="0.25"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W30" s="310"/>
      <c r="Y30" s="356"/>
      <c r="Z30" s="345">
        <v>3</v>
      </c>
      <c r="AA30" s="5" t="s">
        <v>447</v>
      </c>
      <c r="AC30" s="381" t="s">
        <v>399</v>
      </c>
      <c r="AD30" s="382"/>
      <c r="AE30" s="383"/>
      <c r="AF30" s="384"/>
      <c r="AH30" s="88"/>
      <c r="AI30" s="88"/>
      <c r="AJ30" s="357"/>
      <c r="AK30" s="311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7"/>
      <c r="BD30" s="257"/>
      <c r="BE30" s="257"/>
    </row>
    <row r="31" spans="3:57" ht="17.25" customHeight="1" x14ac:dyDescent="0.25"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W31" s="310"/>
      <c r="Y31" s="356"/>
      <c r="Z31" s="345">
        <v>4</v>
      </c>
      <c r="AA31" s="5" t="s">
        <v>391</v>
      </c>
      <c r="AC31" s="381" t="s">
        <v>400</v>
      </c>
      <c r="AD31" s="382"/>
      <c r="AE31" s="383"/>
      <c r="AF31" s="384"/>
      <c r="AH31" s="88"/>
      <c r="AI31" s="88"/>
      <c r="AJ31" s="357"/>
      <c r="AK31" s="311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7"/>
      <c r="BD31" s="257"/>
      <c r="BE31" s="257"/>
    </row>
    <row r="32" spans="3:57" x14ac:dyDescent="0.25">
      <c r="W32" s="310"/>
      <c r="Y32" s="356"/>
      <c r="Z32" s="345">
        <v>5</v>
      </c>
      <c r="AA32" s="5" t="s">
        <v>401</v>
      </c>
      <c r="AC32" s="381" t="s">
        <v>402</v>
      </c>
      <c r="AD32" s="382"/>
      <c r="AE32" s="383"/>
      <c r="AF32" s="384"/>
      <c r="AH32" s="88"/>
      <c r="AI32" s="88"/>
      <c r="AJ32" s="357"/>
      <c r="AK32" s="311"/>
    </row>
    <row r="33" spans="3:37" ht="24.75" customHeight="1" x14ac:dyDescent="0.25">
      <c r="C33" s="257"/>
      <c r="D33" s="258"/>
      <c r="E33" s="258"/>
      <c r="F33" s="257"/>
      <c r="G33" s="258"/>
      <c r="H33" s="259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W33" s="310"/>
      <c r="Y33" s="356"/>
      <c r="Z33" s="346"/>
      <c r="AA33" s="347"/>
      <c r="AB33" s="321"/>
      <c r="AC33" s="380"/>
      <c r="AD33" s="361"/>
      <c r="AE33" s="361"/>
      <c r="AF33" s="362"/>
      <c r="AJ33" s="357"/>
      <c r="AK33" s="311"/>
    </row>
    <row r="34" spans="3:37" x14ac:dyDescent="0.25">
      <c r="W34" s="310"/>
      <c r="Y34" s="356"/>
      <c r="AJ34" s="357"/>
      <c r="AK34" s="311"/>
    </row>
    <row r="35" spans="3:37" x14ac:dyDescent="0.25">
      <c r="W35" s="310"/>
      <c r="Y35" s="356"/>
      <c r="AJ35" s="357"/>
      <c r="AK35" s="311"/>
    </row>
    <row r="36" spans="3:37" x14ac:dyDescent="0.25">
      <c r="W36" s="310"/>
      <c r="Y36" s="356"/>
      <c r="Z36" s="131"/>
      <c r="AA36" s="5"/>
      <c r="AC36" s="9"/>
      <c r="AD36" s="9"/>
      <c r="AJ36" s="357"/>
      <c r="AK36" s="311"/>
    </row>
    <row r="37" spans="3:37" ht="8.25" customHeight="1" x14ac:dyDescent="0.25">
      <c r="W37" s="310"/>
      <c r="Y37" s="356"/>
      <c r="Z37" s="131"/>
      <c r="AA37" s="5"/>
      <c r="AC37" s="9"/>
      <c r="AD37" s="9"/>
      <c r="AJ37" s="357"/>
      <c r="AK37" s="311"/>
    </row>
    <row r="38" spans="3:37" x14ac:dyDescent="0.25">
      <c r="C38" s="307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9"/>
      <c r="W38" s="310"/>
      <c r="Y38" s="356"/>
      <c r="Z38" s="131"/>
      <c r="AA38" s="5"/>
      <c r="AC38" s="9"/>
      <c r="AD38" s="9"/>
      <c r="AJ38" s="357"/>
      <c r="AK38" s="311"/>
    </row>
    <row r="39" spans="3:37" x14ac:dyDescent="0.25">
      <c r="C39" s="310"/>
      <c r="U39" s="311"/>
      <c r="W39" s="310"/>
      <c r="Y39" s="356"/>
      <c r="AJ39" s="357"/>
      <c r="AK39" s="311"/>
    </row>
    <row r="40" spans="3:37" x14ac:dyDescent="0.25">
      <c r="C40" s="310"/>
      <c r="U40" s="311"/>
      <c r="W40" s="310"/>
      <c r="Y40" s="356"/>
      <c r="AJ40" s="357"/>
      <c r="AK40" s="311"/>
    </row>
    <row r="41" spans="3:37" x14ac:dyDescent="0.25">
      <c r="C41" s="310"/>
      <c r="U41" s="311"/>
      <c r="W41" s="310"/>
      <c r="Y41" s="358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60"/>
      <c r="AK41" s="311"/>
    </row>
    <row r="42" spans="3:37" x14ac:dyDescent="0.25">
      <c r="C42" s="310"/>
      <c r="U42" s="311"/>
      <c r="W42" s="312"/>
      <c r="X42" s="313"/>
      <c r="Y42" s="313"/>
      <c r="Z42" s="313"/>
      <c r="AA42" s="313"/>
      <c r="AB42" s="313"/>
      <c r="AC42" s="313"/>
      <c r="AD42" s="313"/>
      <c r="AE42" s="313"/>
      <c r="AF42" s="313"/>
      <c r="AG42" s="313"/>
      <c r="AH42" s="313"/>
      <c r="AI42" s="313"/>
      <c r="AJ42" s="313"/>
      <c r="AK42" s="314"/>
    </row>
    <row r="43" spans="3:37" ht="17.25" x14ac:dyDescent="0.3">
      <c r="C43" s="310"/>
      <c r="D43" s="328"/>
      <c r="E43" s="327" t="s">
        <v>358</v>
      </c>
      <c r="F43" s="323"/>
      <c r="G43" s="324"/>
      <c r="H43" s="325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9"/>
      <c r="U43" s="311"/>
    </row>
    <row r="44" spans="3:37" ht="17.25" x14ac:dyDescent="0.3">
      <c r="C44" s="310"/>
      <c r="D44" s="292"/>
      <c r="E44" s="330" t="s">
        <v>358</v>
      </c>
      <c r="F44" s="281"/>
      <c r="G44" s="282"/>
      <c r="H44" s="283"/>
      <c r="T44" s="293"/>
      <c r="U44" s="311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57"/>
      <c r="AH44" s="257"/>
      <c r="AI44" s="257"/>
      <c r="AJ44" s="257"/>
      <c r="AK44" s="257"/>
    </row>
    <row r="45" spans="3:37" x14ac:dyDescent="0.25">
      <c r="C45" s="310"/>
      <c r="D45" s="292"/>
      <c r="E45" t="s">
        <v>359</v>
      </c>
      <c r="F45" s="331"/>
      <c r="J45" s="331"/>
      <c r="N45" s="331"/>
      <c r="R45" s="331"/>
      <c r="T45" s="293"/>
      <c r="U45" s="311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</row>
    <row r="46" spans="3:37" x14ac:dyDescent="0.25">
      <c r="C46" s="310"/>
      <c r="D46" s="292"/>
      <c r="F46" s="287" t="s">
        <v>361</v>
      </c>
      <c r="J46" s="331"/>
      <c r="K46" s="255"/>
      <c r="N46" s="331"/>
      <c r="R46" s="331"/>
      <c r="T46" s="293"/>
      <c r="U46" s="311"/>
    </row>
    <row r="47" spans="3:37" ht="17.25" x14ac:dyDescent="0.25">
      <c r="C47" s="310"/>
      <c r="D47" s="292"/>
      <c r="F47" s="287" t="s">
        <v>365</v>
      </c>
      <c r="J47" s="331"/>
      <c r="N47" s="331"/>
      <c r="R47" s="331"/>
      <c r="T47" s="293"/>
      <c r="U47" s="311"/>
      <c r="W47" s="257"/>
      <c r="X47" s="258" t="s">
        <v>403</v>
      </c>
      <c r="Y47" s="257"/>
      <c r="Z47" s="258" t="s">
        <v>452</v>
      </c>
      <c r="AA47" s="259" t="s">
        <v>453</v>
      </c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</row>
    <row r="48" spans="3:37" x14ac:dyDescent="0.25">
      <c r="C48" s="310"/>
      <c r="D48" s="292"/>
      <c r="F48" s="331"/>
      <c r="J48" s="331"/>
      <c r="N48" s="331"/>
      <c r="R48" s="331"/>
      <c r="T48" s="293"/>
      <c r="U48" s="311"/>
    </row>
    <row r="49" spans="1:37" ht="40.5" customHeight="1" x14ac:dyDescent="0.25">
      <c r="C49" s="310"/>
      <c r="D49" s="292"/>
      <c r="F49" s="287"/>
      <c r="J49" s="331"/>
      <c r="K49" s="297"/>
      <c r="L49" s="297"/>
      <c r="M49" s="297"/>
      <c r="N49" s="297"/>
      <c r="Q49" s="297"/>
      <c r="R49" s="297"/>
      <c r="T49" s="293"/>
      <c r="U49" s="311"/>
    </row>
    <row r="50" spans="1:37" x14ac:dyDescent="0.25">
      <c r="C50" s="310"/>
      <c r="D50" s="292"/>
      <c r="F50" s="287"/>
      <c r="J50" s="331"/>
      <c r="K50" s="287"/>
      <c r="L50" s="50"/>
      <c r="M50" s="284"/>
      <c r="N50" s="285"/>
      <c r="O50" s="5"/>
      <c r="P50" s="5"/>
      <c r="Q50" s="5"/>
      <c r="T50" s="293"/>
      <c r="U50" s="311"/>
    </row>
    <row r="51" spans="1:37" ht="17.25" customHeight="1" x14ac:dyDescent="0.25">
      <c r="C51" s="310"/>
      <c r="D51" s="292"/>
      <c r="I51" s="287"/>
      <c r="J51" s="287"/>
      <c r="K51" s="287"/>
      <c r="L51" s="287"/>
      <c r="M51" s="287"/>
      <c r="N51" s="287"/>
      <c r="T51" s="293"/>
      <c r="U51" s="311"/>
    </row>
    <row r="52" spans="1:37" x14ac:dyDescent="0.25">
      <c r="C52" s="310"/>
      <c r="D52" s="292"/>
      <c r="J52" s="287"/>
      <c r="K52" s="287"/>
      <c r="L52" s="287"/>
      <c r="M52" s="287"/>
      <c r="N52" s="287"/>
      <c r="T52" s="293"/>
      <c r="U52" s="311"/>
      <c r="W52" s="307"/>
      <c r="X52" s="308"/>
      <c r="Y52" s="308"/>
      <c r="Z52" s="308"/>
      <c r="AA52" s="308"/>
      <c r="AB52" s="308"/>
      <c r="AC52" s="308"/>
      <c r="AD52" s="308"/>
      <c r="AE52" s="308"/>
      <c r="AF52" s="308"/>
      <c r="AG52" s="308"/>
      <c r="AH52" s="308"/>
      <c r="AI52" s="308"/>
      <c r="AJ52" s="308"/>
      <c r="AK52" s="309"/>
    </row>
    <row r="53" spans="1:37" x14ac:dyDescent="0.25">
      <c r="C53" s="310"/>
      <c r="D53" s="292"/>
      <c r="J53" s="287"/>
      <c r="K53" s="287"/>
      <c r="L53" s="287"/>
      <c r="M53" s="287"/>
      <c r="N53" s="287"/>
      <c r="T53" s="293"/>
      <c r="U53" s="311"/>
      <c r="W53" s="310"/>
      <c r="AK53" s="311"/>
    </row>
    <row r="54" spans="1:37" x14ac:dyDescent="0.25">
      <c r="C54" s="310"/>
      <c r="D54" s="292"/>
      <c r="J54" s="287"/>
      <c r="K54" s="287"/>
      <c r="L54" s="287"/>
      <c r="M54" s="287"/>
      <c r="N54" s="287"/>
      <c r="T54" s="293"/>
      <c r="U54" s="311"/>
      <c r="W54" s="310"/>
      <c r="AK54" s="311"/>
    </row>
    <row r="55" spans="1:37" x14ac:dyDescent="0.25">
      <c r="C55" s="310"/>
      <c r="D55" s="292"/>
      <c r="J55" s="319"/>
      <c r="K55" s="666"/>
      <c r="L55" s="666"/>
      <c r="M55" s="666"/>
      <c r="N55" s="319"/>
      <c r="T55" s="293"/>
      <c r="U55" s="311"/>
      <c r="W55" s="310"/>
      <c r="AK55" s="311"/>
    </row>
    <row r="56" spans="1:37" x14ac:dyDescent="0.25">
      <c r="C56" s="310"/>
      <c r="D56" s="292"/>
      <c r="G56" s="286"/>
      <c r="H56" s="285"/>
      <c r="J56" s="285"/>
      <c r="N56" s="285"/>
      <c r="T56" s="293"/>
      <c r="U56" s="311"/>
      <c r="W56" s="310"/>
      <c r="AK56" s="311"/>
    </row>
    <row r="57" spans="1:37" ht="16.5" x14ac:dyDescent="0.3">
      <c r="C57" s="310"/>
      <c r="D57" s="294"/>
      <c r="E57" s="295"/>
      <c r="F57" s="295"/>
      <c r="G57" s="299"/>
      <c r="H57" s="299"/>
      <c r="I57" s="295"/>
      <c r="J57" s="300"/>
      <c r="K57" s="300"/>
      <c r="L57" s="295"/>
      <c r="M57" s="295"/>
      <c r="N57" s="295"/>
      <c r="O57" s="295"/>
      <c r="P57" s="295"/>
      <c r="Q57" s="295"/>
      <c r="R57" s="295"/>
      <c r="S57" s="295"/>
      <c r="T57" s="296"/>
      <c r="U57" s="311"/>
      <c r="W57" s="310"/>
      <c r="Y57" s="333"/>
      <c r="Z57" s="334"/>
      <c r="AA57" s="334"/>
      <c r="AB57" s="334"/>
      <c r="AC57" s="334"/>
      <c r="AD57" s="334"/>
      <c r="AE57" s="334"/>
      <c r="AF57" s="334"/>
      <c r="AG57" s="334"/>
      <c r="AH57" s="334"/>
      <c r="AI57" s="335"/>
      <c r="AK57" s="311"/>
    </row>
    <row r="58" spans="1:37" ht="18.75" customHeight="1" x14ac:dyDescent="0.3">
      <c r="C58" s="312"/>
      <c r="D58" s="313"/>
      <c r="E58" s="313"/>
      <c r="F58" s="313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4"/>
      <c r="W58" s="310"/>
      <c r="Y58" s="336"/>
      <c r="Z58" s="364" t="s">
        <v>404</v>
      </c>
      <c r="AA58" s="365" t="s">
        <v>405</v>
      </c>
      <c r="AI58" s="337"/>
      <c r="AK58" s="311"/>
    </row>
    <row r="59" spans="1:37" ht="18.75" customHeight="1" x14ac:dyDescent="0.25">
      <c r="W59" s="310"/>
      <c r="Y59" s="336"/>
      <c r="Z59" s="338" t="s">
        <v>362</v>
      </c>
      <c r="AA59" s="339" t="s">
        <v>363</v>
      </c>
      <c r="AI59" s="337"/>
      <c r="AK59" s="311"/>
    </row>
    <row r="60" spans="1:37" ht="18.75" customHeight="1" x14ac:dyDescent="0.25">
      <c r="A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W60" s="310"/>
      <c r="Y60" s="336"/>
      <c r="Z60" s="340" t="s">
        <v>366</v>
      </c>
      <c r="AA60" s="341" t="s">
        <v>367</v>
      </c>
      <c r="AI60" s="337"/>
      <c r="AK60" s="311"/>
    </row>
    <row r="61" spans="1:37" ht="18.75" customHeight="1" x14ac:dyDescent="0.25">
      <c r="A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W61" s="310"/>
      <c r="Y61" s="336"/>
      <c r="Z61" s="342" t="s">
        <v>315</v>
      </c>
      <c r="AA61" s="343" t="s">
        <v>454</v>
      </c>
      <c r="AI61" s="337"/>
      <c r="AK61" s="311"/>
    </row>
    <row r="62" spans="1:37" ht="14.25" customHeight="1" x14ac:dyDescent="0.25">
      <c r="W62" s="310"/>
      <c r="Y62" s="336"/>
      <c r="AI62" s="337"/>
      <c r="AK62" s="311"/>
    </row>
    <row r="63" spans="1:37" ht="24" customHeight="1" x14ac:dyDescent="0.3">
      <c r="W63" s="310"/>
      <c r="Y63" s="336"/>
      <c r="Z63" s="366" t="s">
        <v>455</v>
      </c>
      <c r="AA63" s="323" t="s">
        <v>456</v>
      </c>
      <c r="AI63" s="337"/>
      <c r="AK63" s="311"/>
    </row>
    <row r="64" spans="1:37" ht="18" customHeight="1" x14ac:dyDescent="0.25">
      <c r="C64" s="257"/>
      <c r="D64" s="258"/>
      <c r="E64" s="258"/>
      <c r="F64" s="257"/>
      <c r="G64" s="258"/>
      <c r="H64" s="259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W64" s="310"/>
      <c r="Y64" s="336"/>
      <c r="Z64" s="371" t="s">
        <v>74</v>
      </c>
      <c r="AA64" s="372" t="s">
        <v>407</v>
      </c>
      <c r="AB64" s="372" t="s">
        <v>408</v>
      </c>
      <c r="AC64" s="667" t="s">
        <v>380</v>
      </c>
      <c r="AD64" s="667"/>
      <c r="AE64" s="667"/>
      <c r="AF64" s="668"/>
      <c r="AG64" s="367"/>
      <c r="AH64" s="5"/>
      <c r="AI64" s="337"/>
      <c r="AK64" s="311"/>
    </row>
    <row r="65" spans="3:37" ht="18.75" customHeight="1" x14ac:dyDescent="0.25">
      <c r="W65" s="368"/>
      <c r="X65" s="5"/>
      <c r="Y65" s="344"/>
      <c r="Z65" s="374">
        <v>1</v>
      </c>
      <c r="AA65" s="5" t="s">
        <v>409</v>
      </c>
      <c r="AB65" s="5" t="s">
        <v>457</v>
      </c>
      <c r="AC65" s="5"/>
      <c r="AE65" s="5"/>
      <c r="AF65" s="379"/>
      <c r="AG65" s="5"/>
      <c r="AH65" s="5"/>
      <c r="AI65" s="322"/>
      <c r="AJ65" s="5"/>
      <c r="AK65" s="369"/>
    </row>
    <row r="66" spans="3:37" ht="18.75" customHeight="1" x14ac:dyDescent="0.25">
      <c r="W66" s="310"/>
      <c r="Y66" s="336"/>
      <c r="Z66" s="374">
        <v>2</v>
      </c>
      <c r="AA66" s="5" t="s">
        <v>156</v>
      </c>
      <c r="AB66" s="5" t="s">
        <v>411</v>
      </c>
      <c r="AC66" s="5" t="s">
        <v>412</v>
      </c>
      <c r="AF66" s="341"/>
      <c r="AG66" s="370"/>
      <c r="AI66" s="337"/>
      <c r="AK66" s="311"/>
    </row>
    <row r="67" spans="3:37" ht="18.75" customHeight="1" x14ac:dyDescent="0.25">
      <c r="W67" s="310"/>
      <c r="Y67" s="336"/>
      <c r="Z67" s="374">
        <v>3</v>
      </c>
      <c r="AA67" s="5" t="s">
        <v>413</v>
      </c>
      <c r="AB67" s="5" t="s">
        <v>411</v>
      </c>
      <c r="AC67" t="s">
        <v>414</v>
      </c>
      <c r="AF67" s="341"/>
      <c r="AI67" s="337"/>
      <c r="AK67" s="311"/>
    </row>
    <row r="68" spans="3:37" ht="18.75" customHeight="1" x14ac:dyDescent="0.25">
      <c r="C68" s="307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9"/>
      <c r="W68" s="310"/>
      <c r="Y68" s="336"/>
      <c r="Z68" s="374">
        <v>3</v>
      </c>
      <c r="AA68" s="5" t="s">
        <v>415</v>
      </c>
      <c r="AB68" t="s">
        <v>416</v>
      </c>
      <c r="AC68" t="s">
        <v>458</v>
      </c>
      <c r="AF68" s="341"/>
      <c r="AI68" s="337"/>
      <c r="AK68" s="311"/>
    </row>
    <row r="69" spans="3:37" ht="18.75" customHeight="1" x14ac:dyDescent="0.25">
      <c r="C69" s="310"/>
      <c r="U69" s="311"/>
      <c r="W69" s="310"/>
      <c r="Y69" s="336"/>
      <c r="Z69" s="374">
        <v>4</v>
      </c>
      <c r="AA69" s="5" t="s">
        <v>419</v>
      </c>
      <c r="AB69" t="s">
        <v>418</v>
      </c>
      <c r="AF69" s="341"/>
      <c r="AI69" s="337"/>
      <c r="AK69" s="311"/>
    </row>
    <row r="70" spans="3:37" ht="18.75" customHeight="1" x14ac:dyDescent="0.25">
      <c r="C70" s="310"/>
      <c r="U70" s="311"/>
      <c r="W70" s="310"/>
      <c r="Y70" s="336"/>
      <c r="Z70" s="374">
        <v>5</v>
      </c>
      <c r="AA70" s="5" t="s">
        <v>420</v>
      </c>
      <c r="AB70" t="s">
        <v>421</v>
      </c>
      <c r="AF70" s="341"/>
      <c r="AI70" s="337"/>
      <c r="AK70" s="311"/>
    </row>
    <row r="71" spans="3:37" ht="18.75" customHeight="1" x14ac:dyDescent="0.25">
      <c r="C71" s="310"/>
      <c r="U71" s="311"/>
      <c r="W71" s="310"/>
      <c r="Y71" s="336"/>
      <c r="Z71" s="374">
        <v>6</v>
      </c>
      <c r="AA71" s="5" t="s">
        <v>422</v>
      </c>
      <c r="AB71" t="s">
        <v>459</v>
      </c>
      <c r="AF71" s="341"/>
      <c r="AI71" s="337"/>
      <c r="AK71" s="311"/>
    </row>
    <row r="72" spans="3:37" ht="18.75" customHeight="1" x14ac:dyDescent="0.25">
      <c r="C72" s="310"/>
      <c r="U72" s="311"/>
      <c r="W72" s="310"/>
      <c r="Y72" s="336"/>
      <c r="Z72" s="374">
        <v>7</v>
      </c>
      <c r="AA72" s="5" t="s">
        <v>341</v>
      </c>
      <c r="AB72" t="s">
        <v>424</v>
      </c>
      <c r="AC72" t="s">
        <v>425</v>
      </c>
      <c r="AF72" s="341"/>
      <c r="AI72" s="337"/>
      <c r="AK72" s="311"/>
    </row>
    <row r="73" spans="3:37" ht="18.75" customHeight="1" x14ac:dyDescent="0.3">
      <c r="C73" s="310"/>
      <c r="D73" s="328"/>
      <c r="E73" s="327" t="s">
        <v>358</v>
      </c>
      <c r="F73" s="323"/>
      <c r="G73" s="324"/>
      <c r="H73" s="325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9"/>
      <c r="U73" s="311"/>
      <c r="W73" s="310"/>
      <c r="Y73" s="336"/>
      <c r="Z73" s="374">
        <v>8</v>
      </c>
      <c r="AA73" s="5" t="s">
        <v>460</v>
      </c>
      <c r="AF73" s="341"/>
      <c r="AI73" s="337"/>
      <c r="AK73" s="311"/>
    </row>
    <row r="74" spans="3:37" ht="17.25" x14ac:dyDescent="0.3">
      <c r="C74" s="310"/>
      <c r="D74" s="292"/>
      <c r="E74" s="330" t="s">
        <v>358</v>
      </c>
      <c r="F74" s="281"/>
      <c r="G74" s="282"/>
      <c r="H74" s="283"/>
      <c r="T74" s="293"/>
      <c r="U74" s="311"/>
      <c r="W74" s="310"/>
      <c r="Y74" s="336"/>
      <c r="Z74" s="374">
        <v>9</v>
      </c>
      <c r="AA74" s="5" t="s">
        <v>461</v>
      </c>
      <c r="AC74" t="s">
        <v>462</v>
      </c>
      <c r="AF74" s="341"/>
      <c r="AI74" s="337"/>
      <c r="AK74" s="311"/>
    </row>
    <row r="75" spans="3:37" ht="15.75" customHeight="1" x14ac:dyDescent="0.25">
      <c r="C75" s="310"/>
      <c r="D75" s="292"/>
      <c r="E75" t="s">
        <v>359</v>
      </c>
      <c r="F75" s="331"/>
      <c r="J75" s="331"/>
      <c r="N75" s="331"/>
      <c r="R75" s="331"/>
      <c r="T75" s="293"/>
      <c r="U75" s="311"/>
      <c r="W75" s="310"/>
      <c r="Y75" s="336"/>
      <c r="Z75" s="374">
        <v>10</v>
      </c>
      <c r="AA75" s="5" t="s">
        <v>430</v>
      </c>
      <c r="AF75" s="341"/>
      <c r="AI75" s="337"/>
      <c r="AK75" s="311"/>
    </row>
    <row r="76" spans="3:37" ht="15.75" customHeight="1" x14ac:dyDescent="0.25">
      <c r="C76" s="310"/>
      <c r="D76" s="292"/>
      <c r="F76" s="332" t="s">
        <v>361</v>
      </c>
      <c r="J76" s="331"/>
      <c r="K76" s="255"/>
      <c r="N76" s="331"/>
      <c r="R76" s="331"/>
      <c r="T76" s="293"/>
      <c r="U76" s="311"/>
      <c r="W76" s="310"/>
      <c r="Y76" s="336"/>
      <c r="Z76" s="374"/>
      <c r="AA76" s="5"/>
      <c r="AF76" s="341"/>
      <c r="AI76" s="337"/>
      <c r="AK76" s="311"/>
    </row>
    <row r="77" spans="3:37" ht="15.75" customHeight="1" x14ac:dyDescent="0.25">
      <c r="C77" s="310"/>
      <c r="D77" s="292"/>
      <c r="F77" s="287" t="s">
        <v>365</v>
      </c>
      <c r="J77" s="331"/>
      <c r="N77" s="331"/>
      <c r="R77" s="331"/>
      <c r="T77" s="293"/>
      <c r="U77" s="311"/>
      <c r="W77" s="310"/>
      <c r="Y77" s="336"/>
      <c r="Z77" s="374"/>
      <c r="AA77" s="5"/>
      <c r="AF77" s="341"/>
      <c r="AI77" s="337"/>
      <c r="AK77" s="311"/>
    </row>
    <row r="78" spans="3:37" ht="15.75" customHeight="1" x14ac:dyDescent="0.25">
      <c r="W78" s="310"/>
      <c r="Y78" s="336"/>
      <c r="Z78" s="375"/>
      <c r="AA78" s="376"/>
      <c r="AB78" s="377"/>
      <c r="AC78" s="377"/>
      <c r="AD78" s="377"/>
      <c r="AE78" s="377"/>
      <c r="AF78" s="343"/>
      <c r="AI78" s="337"/>
      <c r="AK78" s="311"/>
    </row>
    <row r="79" spans="3:37" ht="15.75" customHeight="1" x14ac:dyDescent="0.25">
      <c r="W79" s="310"/>
      <c r="Y79" s="336"/>
      <c r="Z79" s="131"/>
      <c r="AA79" s="5"/>
      <c r="AC79" s="9"/>
      <c r="AD79" s="9"/>
      <c r="AI79" s="337"/>
      <c r="AK79" s="311"/>
    </row>
    <row r="80" spans="3:37" ht="15.75" customHeight="1" x14ac:dyDescent="0.3">
      <c r="C80" s="310"/>
      <c r="D80" s="292"/>
      <c r="E80" t="s">
        <v>463</v>
      </c>
      <c r="F80" s="331"/>
      <c r="J80" s="331"/>
      <c r="R80" s="331"/>
      <c r="T80" s="293"/>
      <c r="U80" s="311"/>
      <c r="W80" s="310"/>
      <c r="Y80" s="336"/>
      <c r="Z80" s="366" t="s">
        <v>464</v>
      </c>
      <c r="AA80" s="323" t="s">
        <v>465</v>
      </c>
      <c r="AC80" s="9"/>
      <c r="AD80" s="9"/>
      <c r="AI80" s="337"/>
      <c r="AK80" s="311"/>
    </row>
    <row r="81" spans="3:37" ht="15.75" customHeight="1" x14ac:dyDescent="0.25">
      <c r="C81" s="310"/>
      <c r="D81" s="292"/>
      <c r="F81" s="332" t="s">
        <v>361</v>
      </c>
      <c r="Q81" s="297"/>
      <c r="R81" s="297"/>
      <c r="T81" s="293"/>
      <c r="U81" s="311"/>
      <c r="W81" s="310"/>
      <c r="Y81" s="336"/>
      <c r="Z81" s="371" t="s">
        <v>74</v>
      </c>
      <c r="AA81" s="372" t="s">
        <v>376</v>
      </c>
      <c r="AB81" s="372" t="s">
        <v>396</v>
      </c>
      <c r="AC81" s="372" t="s">
        <v>466</v>
      </c>
      <c r="AD81" s="372" t="s">
        <v>467</v>
      </c>
      <c r="AE81" s="372" t="s">
        <v>468</v>
      </c>
      <c r="AF81" s="372" t="s">
        <v>469</v>
      </c>
      <c r="AG81" s="372" t="s">
        <v>470</v>
      </c>
      <c r="AH81" s="373"/>
      <c r="AI81" s="337"/>
      <c r="AK81" s="311"/>
    </row>
    <row r="82" spans="3:37" ht="15.75" customHeight="1" x14ac:dyDescent="0.25">
      <c r="C82" s="310"/>
      <c r="D82" s="292"/>
      <c r="F82" s="332" t="s">
        <v>365</v>
      </c>
      <c r="I82" s="50"/>
      <c r="J82" s="50"/>
      <c r="O82" s="5"/>
      <c r="P82" s="5"/>
      <c r="Q82" s="5"/>
      <c r="T82" s="293"/>
      <c r="U82" s="311"/>
      <c r="W82" s="310"/>
      <c r="Y82" s="336"/>
      <c r="Z82" s="374"/>
      <c r="AA82" s="5"/>
      <c r="AC82" s="9"/>
      <c r="AD82" s="131"/>
      <c r="AE82" s="131"/>
      <c r="AF82" s="131"/>
      <c r="AH82" s="341"/>
      <c r="AI82" s="337"/>
      <c r="AK82" s="311"/>
    </row>
    <row r="83" spans="3:37" ht="15.75" customHeight="1" x14ac:dyDescent="0.25">
      <c r="C83" s="310"/>
      <c r="D83" s="292"/>
      <c r="E83" t="s">
        <v>471</v>
      </c>
      <c r="F83" s="331"/>
      <c r="J83" s="331"/>
      <c r="N83" s="331"/>
      <c r="T83" s="293"/>
      <c r="U83" s="311"/>
      <c r="W83" s="310"/>
      <c r="Y83" s="336"/>
      <c r="Z83" s="374"/>
      <c r="AA83" s="5"/>
      <c r="AC83" s="9"/>
      <c r="AD83" s="131"/>
      <c r="AE83" s="131"/>
      <c r="AF83" s="131"/>
      <c r="AH83" s="341"/>
      <c r="AI83" s="337"/>
      <c r="AK83" s="311"/>
    </row>
    <row r="84" spans="3:37" ht="15.75" customHeight="1" x14ac:dyDescent="0.25">
      <c r="C84" s="310"/>
      <c r="D84" s="292"/>
      <c r="F84" s="332" t="s">
        <v>361</v>
      </c>
      <c r="K84" s="297"/>
      <c r="L84" s="297"/>
      <c r="M84" s="297"/>
      <c r="N84" s="297"/>
      <c r="T84" s="293"/>
      <c r="U84" s="311"/>
      <c r="W84" s="310"/>
      <c r="Y84" s="336"/>
      <c r="Z84" s="374"/>
      <c r="AA84" s="5"/>
      <c r="AC84" s="9"/>
      <c r="AD84" s="9"/>
      <c r="AE84" s="9"/>
      <c r="AH84" s="341"/>
      <c r="AI84" s="337"/>
      <c r="AK84" s="311"/>
    </row>
    <row r="85" spans="3:37" ht="15.75" customHeight="1" x14ac:dyDescent="0.25">
      <c r="C85" s="310"/>
      <c r="D85" s="292"/>
      <c r="F85" s="332" t="s">
        <v>365</v>
      </c>
      <c r="I85" s="50"/>
      <c r="J85" s="50"/>
      <c r="K85" s="287"/>
      <c r="L85" s="50"/>
      <c r="M85" s="284"/>
      <c r="N85" s="285"/>
      <c r="T85" s="293"/>
      <c r="U85" s="311"/>
      <c r="W85" s="310"/>
      <c r="Y85" s="336"/>
      <c r="Z85" s="374"/>
      <c r="AA85" s="5"/>
      <c r="AC85" s="9"/>
      <c r="AD85" s="9"/>
      <c r="AE85" s="9"/>
      <c r="AH85" s="341"/>
      <c r="AI85" s="337"/>
      <c r="AK85" s="311"/>
    </row>
    <row r="86" spans="3:37" ht="15.75" customHeight="1" x14ac:dyDescent="0.25">
      <c r="C86" s="310"/>
      <c r="D86" s="292"/>
      <c r="E86" t="s">
        <v>374</v>
      </c>
      <c r="F86" s="331"/>
      <c r="J86" s="331"/>
      <c r="K86" s="287"/>
      <c r="L86" s="287"/>
      <c r="M86" s="287"/>
      <c r="N86" s="287"/>
      <c r="T86" s="293"/>
      <c r="U86" s="311"/>
      <c r="W86" s="310"/>
      <c r="Y86" s="336"/>
      <c r="Z86" s="374"/>
      <c r="AA86" s="5"/>
      <c r="AC86" s="9"/>
      <c r="AD86" s="9"/>
      <c r="AE86" s="9"/>
      <c r="AH86" s="341"/>
      <c r="AI86" s="337"/>
      <c r="AK86" s="311"/>
    </row>
    <row r="87" spans="3:37" ht="15.75" customHeight="1" x14ac:dyDescent="0.25">
      <c r="C87" s="310"/>
      <c r="D87" s="292"/>
      <c r="F87" s="332" t="s">
        <v>361</v>
      </c>
      <c r="J87" s="331"/>
      <c r="K87" s="287"/>
      <c r="L87" s="287"/>
      <c r="M87" s="287"/>
      <c r="N87" s="287"/>
      <c r="T87" s="293"/>
      <c r="U87" s="311"/>
      <c r="W87" s="310"/>
      <c r="Y87" s="336"/>
      <c r="Z87" s="374"/>
      <c r="AA87" s="5"/>
      <c r="AC87" s="9"/>
      <c r="AD87" s="9"/>
      <c r="AE87" s="9"/>
      <c r="AH87" s="341"/>
      <c r="AI87" s="337"/>
      <c r="AK87" s="311"/>
    </row>
    <row r="88" spans="3:37" ht="15.75" customHeight="1" x14ac:dyDescent="0.25">
      <c r="C88" s="310"/>
      <c r="D88" s="292"/>
      <c r="F88" s="332" t="s">
        <v>365</v>
      </c>
      <c r="J88" s="331"/>
      <c r="K88" s="287"/>
      <c r="L88" s="287"/>
      <c r="M88" s="287"/>
      <c r="N88" s="287"/>
      <c r="T88" s="293"/>
      <c r="U88" s="311"/>
      <c r="W88" s="310"/>
      <c r="Y88" s="336"/>
      <c r="Z88" s="374"/>
      <c r="AA88" s="5"/>
      <c r="AC88" s="9"/>
      <c r="AD88" s="9"/>
      <c r="AE88" s="9"/>
      <c r="AH88" s="341"/>
      <c r="AI88" s="337"/>
      <c r="AK88" s="311"/>
    </row>
    <row r="89" spans="3:37" ht="15.75" customHeight="1" x14ac:dyDescent="0.25">
      <c r="C89" s="310"/>
      <c r="D89" s="292"/>
      <c r="F89" s="331"/>
      <c r="J89" s="331"/>
      <c r="K89" s="287"/>
      <c r="L89" s="287"/>
      <c r="M89" s="287"/>
      <c r="N89" s="287"/>
      <c r="T89" s="293"/>
      <c r="U89" s="311"/>
      <c r="W89" s="310"/>
      <c r="Y89" s="336"/>
      <c r="Z89" s="374"/>
      <c r="AA89" s="5"/>
      <c r="AC89" s="9"/>
      <c r="AD89" s="9"/>
      <c r="AE89" s="9"/>
      <c r="AH89" s="341"/>
      <c r="AI89" s="337"/>
      <c r="AK89" s="311"/>
    </row>
    <row r="90" spans="3:37" ht="15.75" customHeight="1" x14ac:dyDescent="0.25">
      <c r="C90" s="310"/>
      <c r="D90" s="292"/>
      <c r="F90" s="332"/>
      <c r="K90" s="287"/>
      <c r="L90" s="287"/>
      <c r="M90" s="287"/>
      <c r="N90" s="287"/>
      <c r="T90" s="293"/>
      <c r="U90" s="311"/>
      <c r="W90" s="310"/>
      <c r="Y90" s="336"/>
      <c r="Z90" s="374"/>
      <c r="AA90" s="5"/>
      <c r="AC90" s="9"/>
      <c r="AD90" s="9"/>
      <c r="AE90" s="9"/>
      <c r="AH90" s="341"/>
      <c r="AI90" s="337"/>
      <c r="AK90" s="311"/>
    </row>
    <row r="91" spans="3:37" ht="15.75" customHeight="1" x14ac:dyDescent="0.25">
      <c r="C91" s="310"/>
      <c r="D91" s="292"/>
      <c r="F91" s="332"/>
      <c r="I91" s="50"/>
      <c r="J91" s="50"/>
      <c r="K91" s="287"/>
      <c r="L91" s="287"/>
      <c r="M91" s="287"/>
      <c r="N91" s="287"/>
      <c r="T91" s="293"/>
      <c r="U91" s="311"/>
      <c r="W91" s="310"/>
      <c r="Y91" s="336"/>
      <c r="Z91" s="375"/>
      <c r="AA91" s="376"/>
      <c r="AB91" s="377"/>
      <c r="AC91" s="378"/>
      <c r="AD91" s="378"/>
      <c r="AE91" s="378"/>
      <c r="AF91" s="377"/>
      <c r="AG91" s="377"/>
      <c r="AH91" s="343"/>
      <c r="AI91" s="337"/>
      <c r="AK91" s="311"/>
    </row>
    <row r="92" spans="3:37" ht="15.75" customHeight="1" x14ac:dyDescent="0.25">
      <c r="C92" s="310"/>
      <c r="D92" s="292"/>
      <c r="E92" s="414" t="s">
        <v>395</v>
      </c>
      <c r="F92" s="414"/>
      <c r="G92" s="414"/>
      <c r="H92" s="414"/>
      <c r="I92" s="414"/>
      <c r="J92" s="414"/>
      <c r="K92" s="414"/>
      <c r="L92" s="414"/>
      <c r="M92" s="414"/>
      <c r="N92" s="414"/>
      <c r="O92" s="414"/>
      <c r="P92" s="414"/>
      <c r="Q92" s="414"/>
      <c r="R92" s="414"/>
      <c r="T92" s="293"/>
      <c r="U92" s="311"/>
      <c r="W92" s="310"/>
      <c r="Y92" s="336"/>
      <c r="Z92" s="131"/>
      <c r="AA92" s="5"/>
      <c r="AC92" s="9"/>
      <c r="AD92" s="9"/>
      <c r="AI92" s="337"/>
      <c r="AK92" s="311"/>
    </row>
    <row r="93" spans="3:37" ht="15.75" customHeight="1" x14ac:dyDescent="0.3">
      <c r="C93" s="310"/>
      <c r="D93" s="292"/>
      <c r="F93" s="332" t="s">
        <v>361</v>
      </c>
      <c r="N93" s="285"/>
      <c r="T93" s="293"/>
      <c r="U93" s="311"/>
      <c r="W93" s="310"/>
      <c r="Y93" s="336"/>
      <c r="Z93" s="366" t="s">
        <v>472</v>
      </c>
      <c r="AA93" s="323" t="s">
        <v>473</v>
      </c>
      <c r="AC93" s="9"/>
      <c r="AD93" s="9"/>
      <c r="AI93" s="337"/>
      <c r="AK93" s="311"/>
    </row>
    <row r="94" spans="3:37" ht="15.75" customHeight="1" x14ac:dyDescent="0.25">
      <c r="C94" s="310"/>
      <c r="D94" s="292"/>
      <c r="F94" s="332" t="s">
        <v>365</v>
      </c>
      <c r="I94" s="50"/>
      <c r="J94" s="50"/>
      <c r="N94" s="285"/>
      <c r="T94" s="293"/>
      <c r="U94" s="311"/>
      <c r="W94" s="310"/>
      <c r="Y94" s="336"/>
      <c r="Z94" s="371" t="s">
        <v>74</v>
      </c>
      <c r="AA94" s="372" t="s">
        <v>376</v>
      </c>
      <c r="AB94" s="372"/>
      <c r="AC94" s="372"/>
      <c r="AD94" s="372"/>
      <c r="AE94" s="372"/>
      <c r="AF94" s="372"/>
      <c r="AG94" s="372"/>
      <c r="AH94" s="373"/>
      <c r="AI94" s="337"/>
      <c r="AK94" s="311"/>
    </row>
    <row r="95" spans="3:37" ht="18.75" x14ac:dyDescent="0.3">
      <c r="C95" s="310"/>
      <c r="D95" s="292"/>
      <c r="F95" s="332"/>
      <c r="I95" s="50"/>
      <c r="J95" s="50"/>
      <c r="N95" s="285"/>
      <c r="R95" s="385" t="s">
        <v>381</v>
      </c>
      <c r="T95" s="293"/>
      <c r="U95" s="311"/>
      <c r="W95" s="310"/>
      <c r="Y95" s="336"/>
      <c r="Z95" s="340"/>
      <c r="AH95" s="341"/>
      <c r="AI95" s="337"/>
      <c r="AK95" s="311"/>
    </row>
    <row r="96" spans="3:37" ht="16.5" x14ac:dyDescent="0.3">
      <c r="C96" s="310"/>
      <c r="D96" s="294"/>
      <c r="E96" s="295"/>
      <c r="F96" s="295"/>
      <c r="G96" s="299"/>
      <c r="H96" s="299"/>
      <c r="I96" s="295"/>
      <c r="J96" s="300"/>
      <c r="K96" s="300"/>
      <c r="L96" s="295"/>
      <c r="M96" s="295"/>
      <c r="N96" s="295"/>
      <c r="O96" s="295"/>
      <c r="P96" s="295"/>
      <c r="Q96" s="295"/>
      <c r="R96" s="295"/>
      <c r="S96" s="295"/>
      <c r="T96" s="296"/>
      <c r="U96" s="311"/>
      <c r="W96" s="310"/>
      <c r="Y96" s="336"/>
      <c r="Z96" s="340"/>
      <c r="AH96" s="341"/>
      <c r="AI96" s="337"/>
      <c r="AK96" s="311"/>
    </row>
    <row r="97" spans="3:37" x14ac:dyDescent="0.25">
      <c r="C97" s="312"/>
      <c r="D97" s="313"/>
      <c r="E97" s="313"/>
      <c r="F97" s="313"/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  <c r="T97" s="313"/>
      <c r="U97" s="314"/>
      <c r="W97" s="310"/>
      <c r="Y97" s="336"/>
      <c r="Z97" s="374"/>
      <c r="AA97" s="5"/>
      <c r="AC97" s="9"/>
      <c r="AD97" s="131"/>
      <c r="AE97" s="131"/>
      <c r="AF97" s="131"/>
      <c r="AH97" s="341"/>
      <c r="AI97" s="337"/>
      <c r="AK97" s="311"/>
    </row>
    <row r="98" spans="3:37" x14ac:dyDescent="0.25">
      <c r="W98" s="310"/>
      <c r="Y98" s="336"/>
      <c r="Z98" s="374"/>
      <c r="AA98" s="5"/>
      <c r="AC98" s="9"/>
      <c r="AD98" s="131"/>
      <c r="AE98" s="131"/>
      <c r="AF98" s="131"/>
      <c r="AH98" s="341"/>
      <c r="AI98" s="337"/>
      <c r="AK98" s="311"/>
    </row>
    <row r="99" spans="3:37" x14ac:dyDescent="0.25"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W99" s="310"/>
      <c r="Y99" s="336"/>
      <c r="Z99" s="374"/>
      <c r="AA99" s="5"/>
      <c r="AC99" s="9"/>
      <c r="AD99" s="9"/>
      <c r="AE99" s="9"/>
      <c r="AH99" s="341"/>
      <c r="AI99" s="337"/>
      <c r="AK99" s="311"/>
    </row>
    <row r="100" spans="3:37" x14ac:dyDescent="0.25">
      <c r="C100" s="257"/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W100" s="310"/>
      <c r="Y100" s="336"/>
      <c r="Z100" s="374"/>
      <c r="AA100" s="5"/>
      <c r="AC100" s="9"/>
      <c r="AD100" s="9"/>
      <c r="AE100" s="9"/>
      <c r="AH100" s="341"/>
      <c r="AI100" s="337"/>
      <c r="AK100" s="311"/>
    </row>
    <row r="101" spans="3:37" x14ac:dyDescent="0.25">
      <c r="W101" s="310"/>
      <c r="Y101" s="336"/>
      <c r="Z101" s="374"/>
      <c r="AA101" s="5"/>
      <c r="AC101" s="9"/>
      <c r="AD101" s="9"/>
      <c r="AE101" s="9"/>
      <c r="AH101" s="341"/>
      <c r="AI101" s="337"/>
      <c r="AK101" s="311"/>
    </row>
    <row r="102" spans="3:37" x14ac:dyDescent="0.25">
      <c r="W102" s="310"/>
      <c r="Y102" s="336"/>
      <c r="Z102" s="374"/>
      <c r="AA102" s="5"/>
      <c r="AC102" s="9"/>
      <c r="AD102" s="9"/>
      <c r="AE102" s="9"/>
      <c r="AH102" s="341"/>
      <c r="AI102" s="337"/>
      <c r="AK102" s="311"/>
    </row>
    <row r="103" spans="3:37" x14ac:dyDescent="0.25">
      <c r="W103" s="310"/>
      <c r="Y103" s="336"/>
      <c r="Z103" s="374"/>
      <c r="AA103" s="5"/>
      <c r="AC103" s="9"/>
      <c r="AD103" s="9"/>
      <c r="AE103" s="9"/>
      <c r="AH103" s="341"/>
      <c r="AI103" s="337"/>
      <c r="AK103" s="311"/>
    </row>
    <row r="104" spans="3:37" x14ac:dyDescent="0.25">
      <c r="W104" s="310"/>
      <c r="Y104" s="336"/>
      <c r="Z104" s="374"/>
      <c r="AA104" s="5"/>
      <c r="AC104" s="9"/>
      <c r="AD104" s="9"/>
      <c r="AE104" s="9"/>
      <c r="AH104" s="341"/>
      <c r="AI104" s="337"/>
      <c r="AK104" s="311"/>
    </row>
    <row r="105" spans="3:37" x14ac:dyDescent="0.25">
      <c r="W105" s="310"/>
      <c r="Y105" s="336"/>
      <c r="Z105" s="375"/>
      <c r="AA105" s="376"/>
      <c r="AB105" s="377"/>
      <c r="AC105" s="378"/>
      <c r="AD105" s="378"/>
      <c r="AE105" s="378"/>
      <c r="AF105" s="377"/>
      <c r="AG105" s="377"/>
      <c r="AH105" s="343"/>
      <c r="AI105" s="337"/>
      <c r="AK105" s="311"/>
    </row>
    <row r="106" spans="3:37" x14ac:dyDescent="0.25">
      <c r="W106" s="310"/>
      <c r="Y106" s="336"/>
      <c r="Z106" s="131"/>
      <c r="AA106" s="5"/>
      <c r="AC106" s="9"/>
      <c r="AD106" s="9"/>
      <c r="AI106" s="337"/>
      <c r="AK106" s="311"/>
    </row>
    <row r="107" spans="3:37" x14ac:dyDescent="0.25">
      <c r="W107" s="310"/>
      <c r="Y107" s="350"/>
      <c r="Z107" s="348"/>
      <c r="AA107" s="348"/>
      <c r="AB107" s="348"/>
      <c r="AC107" s="348"/>
      <c r="AD107" s="348"/>
      <c r="AE107" s="348"/>
      <c r="AF107" s="348"/>
      <c r="AG107" s="348"/>
      <c r="AH107" s="348"/>
      <c r="AI107" s="349"/>
      <c r="AK107" s="311"/>
    </row>
    <row r="108" spans="3:37" x14ac:dyDescent="0.25">
      <c r="W108" s="312"/>
      <c r="X108" s="313"/>
      <c r="Y108" s="313"/>
      <c r="Z108" s="313"/>
      <c r="AA108" s="313"/>
      <c r="AB108" s="313"/>
      <c r="AC108" s="313"/>
      <c r="AD108" s="313"/>
      <c r="AE108" s="313"/>
      <c r="AF108" s="313"/>
      <c r="AG108" s="313"/>
      <c r="AH108" s="313"/>
      <c r="AI108" s="313"/>
      <c r="AJ108" s="313"/>
      <c r="AK108" s="314"/>
    </row>
    <row r="110" spans="3:37" x14ac:dyDescent="0.25"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</row>
    <row r="111" spans="3:37" x14ac:dyDescent="0.25"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</row>
    <row r="122" ht="195" customHeight="1" x14ac:dyDescent="0.25"/>
  </sheetData>
  <mergeCells count="19">
    <mergeCell ref="K55:M55"/>
    <mergeCell ref="AC64:AF64"/>
    <mergeCell ref="K25:M25"/>
    <mergeCell ref="Z25:AA26"/>
    <mergeCell ref="AU25:AW25"/>
    <mergeCell ref="AC27:AF27"/>
    <mergeCell ref="AC28:AF29"/>
    <mergeCell ref="AT14:AT17"/>
    <mergeCell ref="AX14:AX17"/>
    <mergeCell ref="BB14:BB17"/>
    <mergeCell ref="AE19:AF19"/>
    <mergeCell ref="J20:N24"/>
    <mergeCell ref="AT20:AX24"/>
    <mergeCell ref="AP14:AP17"/>
    <mergeCell ref="Z13:AA13"/>
    <mergeCell ref="F14:F17"/>
    <mergeCell ref="J14:J17"/>
    <mergeCell ref="N14:N17"/>
    <mergeCell ref="R14:R1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E5E7-D256-4C53-BBBD-77B20C31AB11}">
  <dimension ref="A2:C9"/>
  <sheetViews>
    <sheetView workbookViewId="0">
      <selection activeCell="C5" sqref="C5"/>
    </sheetView>
  </sheetViews>
  <sheetFormatPr defaultRowHeight="15" x14ac:dyDescent="0.25"/>
  <cols>
    <col min="2" max="2" width="68.7109375" customWidth="1"/>
    <col min="3" max="3" width="58" bestFit="1" customWidth="1"/>
  </cols>
  <sheetData>
    <row r="2" spans="1:3" x14ac:dyDescent="0.25">
      <c r="A2">
        <v>1</v>
      </c>
      <c r="B2" t="s">
        <v>474</v>
      </c>
      <c r="C2" t="s">
        <v>475</v>
      </c>
    </row>
    <row r="3" spans="1:3" x14ac:dyDescent="0.25">
      <c r="A3">
        <v>2</v>
      </c>
    </row>
    <row r="5" spans="1:3" x14ac:dyDescent="0.25">
      <c r="A5">
        <v>5</v>
      </c>
      <c r="B5" t="s">
        <v>476</v>
      </c>
      <c r="C5" t="s">
        <v>477</v>
      </c>
    </row>
    <row r="6" spans="1:3" x14ac:dyDescent="0.25">
      <c r="B6" t="s">
        <v>478</v>
      </c>
      <c r="C6" t="s">
        <v>479</v>
      </c>
    </row>
    <row r="7" spans="1:3" x14ac:dyDescent="0.25">
      <c r="B7" t="s">
        <v>480</v>
      </c>
      <c r="C7" t="s">
        <v>481</v>
      </c>
    </row>
    <row r="8" spans="1:3" x14ac:dyDescent="0.25">
      <c r="B8" t="s">
        <v>482</v>
      </c>
      <c r="C8" t="s">
        <v>483</v>
      </c>
    </row>
    <row r="9" spans="1:3" x14ac:dyDescent="0.25">
      <c r="C9" t="s">
        <v>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6424-6709-4C5D-AF1D-F2211F8AF69D}">
  <dimension ref="A1:E16"/>
  <sheetViews>
    <sheetView workbookViewId="0">
      <selection activeCell="F2" sqref="F2"/>
    </sheetView>
  </sheetViews>
  <sheetFormatPr defaultRowHeight="15" x14ac:dyDescent="0.25"/>
  <cols>
    <col min="1" max="1" width="5" customWidth="1"/>
    <col min="2" max="2" width="43.85546875" customWidth="1"/>
    <col min="3" max="3" width="20.140625" style="9" customWidth="1"/>
    <col min="4" max="4" width="25.5703125" customWidth="1"/>
    <col min="5" max="5" width="85.85546875" customWidth="1"/>
    <col min="6" max="6" width="16.28515625" bestFit="1" customWidth="1"/>
  </cols>
  <sheetData>
    <row r="1" spans="1:5" ht="23.25" x14ac:dyDescent="0.35">
      <c r="A1" s="33" t="s">
        <v>485</v>
      </c>
    </row>
    <row r="2" spans="1:5" x14ac:dyDescent="0.25">
      <c r="A2" s="2"/>
    </row>
    <row r="3" spans="1:5" ht="24.75" customHeight="1" x14ac:dyDescent="0.25">
      <c r="A3" s="17" t="s">
        <v>74</v>
      </c>
      <c r="B3" s="17" t="s">
        <v>486</v>
      </c>
      <c r="C3" s="17" t="s">
        <v>487</v>
      </c>
      <c r="D3" s="17" t="s">
        <v>488</v>
      </c>
      <c r="E3" s="17" t="s">
        <v>489</v>
      </c>
    </row>
    <row r="4" spans="1:5" ht="22.5" customHeight="1" x14ac:dyDescent="0.25">
      <c r="A4" s="12">
        <v>1</v>
      </c>
      <c r="B4" s="18" t="s">
        <v>490</v>
      </c>
      <c r="C4" s="12"/>
      <c r="D4" s="13"/>
      <c r="E4" s="13"/>
    </row>
    <row r="5" spans="1:5" ht="22.5" customHeight="1" x14ac:dyDescent="0.25">
      <c r="A5" s="12"/>
      <c r="B5" s="18" t="s">
        <v>491</v>
      </c>
      <c r="C5" s="34" t="s">
        <v>492</v>
      </c>
      <c r="D5" s="12" t="s">
        <v>493</v>
      </c>
      <c r="E5" s="18" t="s">
        <v>494</v>
      </c>
    </row>
    <row r="6" spans="1:5" ht="22.5" customHeight="1" x14ac:dyDescent="0.25">
      <c r="A6" s="12"/>
      <c r="B6" s="18" t="s">
        <v>491</v>
      </c>
      <c r="C6" s="34" t="s">
        <v>495</v>
      </c>
      <c r="D6" s="12" t="s">
        <v>493</v>
      </c>
      <c r="E6" s="18" t="s">
        <v>494</v>
      </c>
    </row>
    <row r="7" spans="1:5" ht="22.5" customHeight="1" x14ac:dyDescent="0.25">
      <c r="A7" s="12"/>
      <c r="B7" s="18" t="s">
        <v>491</v>
      </c>
      <c r="C7" s="34" t="s">
        <v>496</v>
      </c>
      <c r="D7" s="12" t="s">
        <v>493</v>
      </c>
      <c r="E7" s="18" t="s">
        <v>494</v>
      </c>
    </row>
    <row r="8" spans="1:5" ht="22.5" customHeight="1" x14ac:dyDescent="0.25">
      <c r="A8" s="12"/>
      <c r="B8" s="18" t="s">
        <v>491</v>
      </c>
      <c r="C8" s="34" t="s">
        <v>497</v>
      </c>
      <c r="D8" s="12" t="s">
        <v>493</v>
      </c>
      <c r="E8" s="18" t="s">
        <v>494</v>
      </c>
    </row>
    <row r="9" spans="1:5" ht="22.5" customHeight="1" x14ac:dyDescent="0.25">
      <c r="A9" s="12"/>
      <c r="B9" s="18" t="s">
        <v>498</v>
      </c>
      <c r="C9" s="34" t="s">
        <v>99</v>
      </c>
      <c r="D9" s="12" t="s">
        <v>493</v>
      </c>
      <c r="E9" s="18" t="s">
        <v>494</v>
      </c>
    </row>
    <row r="10" spans="1:5" ht="22.5" customHeight="1" x14ac:dyDescent="0.25">
      <c r="A10" s="12"/>
      <c r="B10" s="18" t="s">
        <v>499</v>
      </c>
      <c r="C10" s="34" t="s">
        <v>99</v>
      </c>
      <c r="D10" s="12" t="s">
        <v>500</v>
      </c>
      <c r="E10" s="18" t="s">
        <v>494</v>
      </c>
    </row>
    <row r="11" spans="1:5" ht="22.5" customHeight="1" x14ac:dyDescent="0.25">
      <c r="A11" s="12"/>
      <c r="B11" s="18" t="s">
        <v>501</v>
      </c>
      <c r="C11" s="34" t="s">
        <v>99</v>
      </c>
      <c r="D11" s="12" t="s">
        <v>493</v>
      </c>
      <c r="E11" s="18" t="s">
        <v>494</v>
      </c>
    </row>
    <row r="12" spans="1:5" s="10" customFormat="1" ht="22.5" customHeight="1" x14ac:dyDescent="0.25">
      <c r="A12" s="14">
        <v>2</v>
      </c>
      <c r="B12" s="19" t="s">
        <v>502</v>
      </c>
      <c r="C12" s="34" t="s">
        <v>503</v>
      </c>
      <c r="D12" s="16" t="s">
        <v>504</v>
      </c>
      <c r="E12" s="19" t="s">
        <v>505</v>
      </c>
    </row>
    <row r="13" spans="1:5" s="9" customFormat="1" ht="22.5" customHeight="1" x14ac:dyDescent="0.25">
      <c r="A13" s="14">
        <v>3</v>
      </c>
      <c r="B13" s="19" t="s">
        <v>506</v>
      </c>
      <c r="C13" s="35" t="s">
        <v>507</v>
      </c>
      <c r="D13" s="12"/>
      <c r="E13" s="19" t="s">
        <v>508</v>
      </c>
    </row>
    <row r="14" spans="1:5" s="10" customFormat="1" ht="49.5" customHeight="1" x14ac:dyDescent="0.25">
      <c r="A14" s="14">
        <v>4</v>
      </c>
      <c r="B14" s="19" t="s">
        <v>509</v>
      </c>
      <c r="C14" s="35" t="s">
        <v>510</v>
      </c>
      <c r="D14" s="15"/>
      <c r="E14" s="19" t="s">
        <v>511</v>
      </c>
    </row>
    <row r="15" spans="1:5" s="11" customFormat="1" ht="49.5" customHeight="1" x14ac:dyDescent="0.25">
      <c r="A15" s="14">
        <v>5</v>
      </c>
      <c r="B15" s="19" t="s">
        <v>512</v>
      </c>
      <c r="C15" s="34" t="s">
        <v>513</v>
      </c>
      <c r="D15" s="20"/>
      <c r="E15" s="21" t="s">
        <v>514</v>
      </c>
    </row>
    <row r="16" spans="1:5" s="11" customFormat="1" ht="22.5" customHeight="1" x14ac:dyDescent="0.25">
      <c r="A16" s="16">
        <v>6</v>
      </c>
      <c r="B16" s="19" t="s">
        <v>515</v>
      </c>
      <c r="C16" s="34" t="s">
        <v>516</v>
      </c>
      <c r="D16" s="20"/>
      <c r="E16" s="22" t="s">
        <v>517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C3C8-A1DB-4524-840A-F39085C4D555}">
  <dimension ref="A2:BS122"/>
  <sheetViews>
    <sheetView showGridLines="0" tabSelected="1" topLeftCell="A67" zoomScale="85" zoomScaleNormal="85" workbookViewId="0">
      <selection activeCell="I97" sqref="I97"/>
    </sheetView>
  </sheetViews>
  <sheetFormatPr defaultRowHeight="15" x14ac:dyDescent="0.25"/>
  <cols>
    <col min="1" max="1" width="4" customWidth="1"/>
    <col min="2" max="2" width="7.140625" customWidth="1"/>
    <col min="3" max="3" width="4.5703125" customWidth="1"/>
    <col min="4" max="4" width="8" customWidth="1"/>
    <col min="5" max="5" width="26.42578125" customWidth="1"/>
    <col min="6" max="6" width="16.85546875" customWidth="1"/>
    <col min="7" max="7" width="7.42578125" customWidth="1"/>
    <col min="8" max="9" width="11.140625" customWidth="1"/>
    <col min="10" max="10" width="30" customWidth="1"/>
    <col min="11" max="11" width="10.7109375" customWidth="1"/>
    <col min="12" max="12" width="2.28515625" customWidth="1"/>
    <col min="13" max="13" width="4.140625" customWidth="1"/>
    <col min="14" max="14" width="2.42578125" customWidth="1"/>
    <col min="15" max="15" width="1.28515625" customWidth="1"/>
    <col min="18" max="18" width="2.28515625" customWidth="1"/>
    <col min="19" max="19" width="3.5703125" customWidth="1"/>
    <col min="20" max="20" width="23.42578125" customWidth="1"/>
    <col min="21" max="21" width="3.85546875" customWidth="1"/>
    <col min="22" max="22" width="2.5703125" customWidth="1"/>
    <col min="23" max="23" width="2.7109375" customWidth="1"/>
    <col min="24" max="24" width="23.42578125" customWidth="1"/>
    <col min="25" max="25" width="4.140625" customWidth="1"/>
    <col min="26" max="26" width="2" customWidth="1"/>
    <col min="27" max="27" width="3.140625" customWidth="1"/>
    <col min="28" max="28" width="23.42578125" customWidth="1"/>
    <col min="29" max="29" width="3.42578125" customWidth="1"/>
    <col min="30" max="30" width="2.42578125" customWidth="1"/>
    <col min="31" max="31" width="2.5703125" customWidth="1"/>
    <col min="32" max="32" width="23.42578125" customWidth="1"/>
    <col min="33" max="33" width="2.5703125" customWidth="1"/>
    <col min="34" max="34" width="3.85546875" customWidth="1"/>
    <col min="35" max="35" width="2.85546875" customWidth="1"/>
    <col min="37" max="37" width="4.28515625" customWidth="1"/>
    <col min="39" max="39" width="3.7109375" customWidth="1"/>
    <col min="40" max="40" width="8.5703125" customWidth="1"/>
    <col min="41" max="41" width="40.140625" customWidth="1"/>
    <col min="42" max="42" width="24.5703125" customWidth="1"/>
    <col min="43" max="45" width="11" customWidth="1"/>
    <col min="46" max="46" width="24.5703125" customWidth="1"/>
    <col min="47" max="47" width="9.42578125" customWidth="1"/>
    <col min="54" max="54" width="2.28515625" customWidth="1"/>
    <col min="55" max="55" width="3.5703125" customWidth="1"/>
    <col min="56" max="56" width="23.28515625" customWidth="1"/>
    <col min="57" max="57" width="3.85546875" customWidth="1"/>
    <col min="58" max="58" width="2.5703125" customWidth="1"/>
    <col min="59" max="59" width="2.7109375" customWidth="1"/>
    <col min="60" max="60" width="23.28515625" customWidth="1"/>
    <col min="61" max="61" width="4.140625" customWidth="1"/>
    <col min="62" max="62" width="2" customWidth="1"/>
    <col min="63" max="63" width="3.140625" customWidth="1"/>
    <col min="64" max="64" width="23.28515625" customWidth="1"/>
    <col min="65" max="65" width="3.42578125" customWidth="1"/>
    <col min="66" max="66" width="2.42578125" customWidth="1"/>
    <col min="67" max="67" width="2.5703125" customWidth="1"/>
    <col min="68" max="68" width="23.5703125" customWidth="1"/>
    <col min="69" max="69" width="2.5703125" customWidth="1"/>
    <col min="70" max="70" width="3.85546875" customWidth="1"/>
    <col min="71" max="71" width="2.85546875" customWidth="1"/>
  </cols>
  <sheetData>
    <row r="2" spans="2:71" ht="24.75" customHeight="1" x14ac:dyDescent="0.25">
      <c r="B2" s="258"/>
      <c r="C2" s="257"/>
      <c r="D2" s="258"/>
      <c r="E2" s="259"/>
      <c r="F2" s="257"/>
      <c r="G2" s="257"/>
      <c r="H2" s="257"/>
      <c r="I2" s="257"/>
      <c r="J2" s="257"/>
      <c r="K2" s="257"/>
      <c r="L2" s="257"/>
      <c r="M2" s="257"/>
      <c r="N2" s="257"/>
      <c r="O2" s="257"/>
      <c r="Q2" s="257"/>
      <c r="R2" s="258"/>
      <c r="S2" s="258"/>
      <c r="T2" s="257"/>
      <c r="U2" s="258"/>
      <c r="V2" s="259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K2" s="257"/>
      <c r="AL2" s="258"/>
      <c r="AM2" s="257"/>
      <c r="AN2" s="258"/>
      <c r="AO2" s="259"/>
      <c r="AP2" s="257"/>
      <c r="AQ2" s="257"/>
      <c r="AR2" s="257"/>
      <c r="AS2" s="257"/>
      <c r="AT2" s="257"/>
      <c r="AU2" s="257"/>
      <c r="AV2" s="257"/>
      <c r="AW2" s="257"/>
      <c r="AX2" s="257"/>
      <c r="AY2" s="257"/>
      <c r="BA2" s="257"/>
      <c r="BB2" s="258"/>
      <c r="BC2" s="258"/>
      <c r="BD2" s="257"/>
      <c r="BE2" s="258"/>
      <c r="BF2" s="259"/>
      <c r="BG2" s="257"/>
      <c r="BH2" s="257"/>
      <c r="BI2" s="257"/>
      <c r="BJ2" s="257"/>
      <c r="BK2" s="257"/>
      <c r="BL2" s="257"/>
      <c r="BM2" s="257"/>
      <c r="BN2" s="257"/>
      <c r="BO2" s="257"/>
      <c r="BP2" s="257"/>
      <c r="BQ2" s="257"/>
      <c r="BR2" s="257"/>
      <c r="BS2" s="257"/>
    </row>
    <row r="4" spans="2:71" x14ac:dyDescent="0.25">
      <c r="AZ4" s="5"/>
    </row>
    <row r="6" spans="2:71" ht="8.25" customHeight="1" x14ac:dyDescent="0.25"/>
    <row r="7" spans="2:71" x14ac:dyDescent="0.25">
      <c r="Q7" s="307"/>
      <c r="R7" s="308"/>
      <c r="S7" s="308"/>
      <c r="T7" s="308"/>
      <c r="U7" s="308"/>
      <c r="V7" s="308"/>
      <c r="W7" s="308"/>
      <c r="X7" s="308"/>
      <c r="Y7" s="308"/>
      <c r="Z7" s="308"/>
      <c r="AA7" s="308"/>
      <c r="AB7" s="308"/>
      <c r="AC7" s="308"/>
      <c r="AD7" s="308"/>
      <c r="AE7" s="308"/>
      <c r="AF7" s="308"/>
      <c r="AG7" s="308"/>
      <c r="AH7" s="308"/>
      <c r="AI7" s="309"/>
      <c r="AK7" s="307"/>
      <c r="AL7" s="308"/>
      <c r="AM7" s="308"/>
      <c r="AN7" s="308"/>
      <c r="AO7" s="308"/>
      <c r="AP7" s="308"/>
      <c r="AQ7" s="308"/>
      <c r="AR7" s="308"/>
      <c r="AS7" s="308"/>
      <c r="AT7" s="308"/>
      <c r="AU7" s="308"/>
      <c r="AV7" s="308"/>
      <c r="AW7" s="308"/>
      <c r="AX7" s="308"/>
      <c r="AY7" s="309"/>
      <c r="BA7" s="307"/>
      <c r="BB7" s="308"/>
      <c r="BC7" s="308"/>
      <c r="BD7" s="308"/>
      <c r="BE7" s="308"/>
      <c r="BF7" s="308"/>
      <c r="BG7" s="308"/>
      <c r="BH7" s="308"/>
      <c r="BI7" s="308"/>
      <c r="BJ7" s="308"/>
      <c r="BK7" s="308"/>
      <c r="BL7" s="308"/>
      <c r="BM7" s="308"/>
      <c r="BN7" s="308"/>
      <c r="BO7" s="308"/>
      <c r="BP7" s="308"/>
      <c r="BQ7" s="308"/>
      <c r="BR7" s="308"/>
      <c r="BS7" s="309"/>
    </row>
    <row r="8" spans="2:71" x14ac:dyDescent="0.25">
      <c r="Q8" s="310"/>
      <c r="AI8" s="311"/>
      <c r="AK8" s="310"/>
      <c r="AY8" s="311"/>
      <c r="BA8" s="310"/>
      <c r="BS8" s="311"/>
    </row>
    <row r="9" spans="2:71" x14ac:dyDescent="0.25">
      <c r="Q9" s="310"/>
      <c r="AI9" s="311"/>
      <c r="AK9" s="310"/>
      <c r="AY9" s="311"/>
      <c r="BA9" s="310"/>
      <c r="BS9" s="311"/>
    </row>
    <row r="10" spans="2:71" x14ac:dyDescent="0.25">
      <c r="Q10" s="310"/>
      <c r="AI10" s="311"/>
      <c r="AK10" s="310"/>
      <c r="AY10" s="311"/>
      <c r="BA10" s="310"/>
      <c r="BS10" s="311"/>
    </row>
    <row r="11" spans="2:71" x14ac:dyDescent="0.25">
      <c r="Q11" s="310"/>
      <c r="AI11" s="311"/>
      <c r="AK11" s="310"/>
      <c r="AY11" s="311"/>
      <c r="BA11" s="310"/>
      <c r="BS11" s="311"/>
    </row>
    <row r="12" spans="2:71" x14ac:dyDescent="0.25">
      <c r="Q12" s="310"/>
      <c r="R12" s="289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1"/>
      <c r="AI12" s="311"/>
      <c r="AK12" s="310"/>
      <c r="AM12" s="353"/>
      <c r="AN12" s="354"/>
      <c r="AO12" s="354"/>
      <c r="AP12" s="354"/>
      <c r="AQ12" s="354"/>
      <c r="AR12" s="354"/>
      <c r="AS12" s="354"/>
      <c r="AT12" s="354"/>
      <c r="AU12" s="354"/>
      <c r="AV12" s="354"/>
      <c r="AW12" s="354"/>
      <c r="AX12" s="355"/>
      <c r="AY12" s="311"/>
      <c r="BA12" s="310"/>
      <c r="BB12" s="289"/>
      <c r="BC12" s="290"/>
      <c r="BD12" s="290"/>
      <c r="BE12" s="290"/>
      <c r="BF12" s="290"/>
      <c r="BG12" s="290"/>
      <c r="BH12" s="290"/>
      <c r="BI12" s="290"/>
      <c r="BJ12" s="290"/>
      <c r="BK12" s="290"/>
      <c r="BL12" s="290"/>
      <c r="BM12" s="290"/>
      <c r="BN12" s="290"/>
      <c r="BO12" s="290"/>
      <c r="BP12" s="290"/>
      <c r="BQ12" s="290"/>
      <c r="BR12" s="291"/>
      <c r="BS12" s="311"/>
    </row>
    <row r="13" spans="2:71" ht="18" thickBot="1" x14ac:dyDescent="0.35">
      <c r="D13" s="282"/>
      <c r="E13" s="283"/>
      <c r="Q13" s="310"/>
      <c r="R13" s="292"/>
      <c r="S13" s="289"/>
      <c r="T13" s="290"/>
      <c r="U13" s="302"/>
      <c r="V13" s="283"/>
      <c r="W13" s="289"/>
      <c r="X13" s="290"/>
      <c r="Y13" s="291"/>
      <c r="AA13" s="289"/>
      <c r="AB13" s="290"/>
      <c r="AC13" s="291"/>
      <c r="AE13" s="289"/>
      <c r="AF13" s="290"/>
      <c r="AG13" s="291"/>
      <c r="AH13" s="293"/>
      <c r="AI13" s="311"/>
      <c r="AK13" s="310"/>
      <c r="AM13" s="356"/>
      <c r="AN13" s="644" t="s">
        <v>435</v>
      </c>
      <c r="AO13" s="645"/>
      <c r="AX13" s="357"/>
      <c r="AY13" s="311"/>
      <c r="BA13" s="310"/>
      <c r="BB13" s="292"/>
      <c r="BC13" s="289"/>
      <c r="BD13" s="290"/>
      <c r="BE13" s="302"/>
      <c r="BF13" s="283"/>
      <c r="BG13" s="289"/>
      <c r="BH13" s="290"/>
      <c r="BI13" s="291"/>
      <c r="BK13" s="289"/>
      <c r="BL13" s="290"/>
      <c r="BM13" s="291"/>
      <c r="BO13" s="289"/>
      <c r="BP13" s="290"/>
      <c r="BQ13" s="291"/>
      <c r="BR13" s="293"/>
      <c r="BS13" s="311"/>
    </row>
    <row r="14" spans="2:71" ht="15" customHeight="1" x14ac:dyDescent="0.25">
      <c r="H14" s="255"/>
      <c r="Q14" s="310"/>
      <c r="R14" s="292"/>
      <c r="S14" s="292"/>
      <c r="T14" s="646" t="s">
        <v>436</v>
      </c>
      <c r="U14" s="293"/>
      <c r="W14" s="292"/>
      <c r="X14" s="646" t="s">
        <v>437</v>
      </c>
      <c r="Y14" s="293"/>
      <c r="AA14" s="292"/>
      <c r="AB14" s="646" t="s">
        <v>438</v>
      </c>
      <c r="AC14" s="293"/>
      <c r="AE14" s="292"/>
      <c r="AF14" s="646" t="s">
        <v>439</v>
      </c>
      <c r="AG14" s="293"/>
      <c r="AH14" s="293"/>
      <c r="AI14" s="311"/>
      <c r="AK14" s="310"/>
      <c r="AM14" s="356"/>
      <c r="AN14" s="340" t="s">
        <v>362</v>
      </c>
      <c r="AO14" s="341" t="s">
        <v>363</v>
      </c>
      <c r="AX14" s="357"/>
      <c r="AY14" s="311"/>
      <c r="BA14" s="310"/>
      <c r="BB14" s="292"/>
      <c r="BC14" s="292"/>
      <c r="BD14" s="649" t="s">
        <v>436</v>
      </c>
      <c r="BE14" s="293"/>
      <c r="BG14" s="292"/>
      <c r="BH14" s="649" t="s">
        <v>440</v>
      </c>
      <c r="BI14" s="293"/>
      <c r="BK14" s="292"/>
      <c r="BL14" s="649" t="s">
        <v>438</v>
      </c>
      <c r="BM14" s="293"/>
      <c r="BO14" s="292"/>
      <c r="BP14" s="649" t="s">
        <v>439</v>
      </c>
      <c r="BQ14" s="293"/>
      <c r="BR14" s="293"/>
      <c r="BS14" s="311"/>
    </row>
    <row r="15" spans="2:71" x14ac:dyDescent="0.25">
      <c r="H15" s="255"/>
      <c r="Q15" s="310"/>
      <c r="R15" s="292"/>
      <c r="S15" s="292"/>
      <c r="T15" s="647"/>
      <c r="U15" s="293"/>
      <c r="W15" s="292"/>
      <c r="X15" s="647"/>
      <c r="Y15" s="303"/>
      <c r="AA15" s="292"/>
      <c r="AB15" s="647"/>
      <c r="AC15" s="293"/>
      <c r="AE15" s="292"/>
      <c r="AF15" s="647"/>
      <c r="AG15" s="293"/>
      <c r="AH15" s="293"/>
      <c r="AI15" s="311"/>
      <c r="AK15" s="310"/>
      <c r="AM15" s="356"/>
      <c r="AN15" s="340" t="s">
        <v>366</v>
      </c>
      <c r="AO15" s="341" t="s">
        <v>367</v>
      </c>
      <c r="AX15" s="357"/>
      <c r="AY15" s="311"/>
      <c r="BA15" s="310"/>
      <c r="BB15" s="292"/>
      <c r="BC15" s="292"/>
      <c r="BD15" s="650"/>
      <c r="BE15" s="293"/>
      <c r="BG15" s="292"/>
      <c r="BH15" s="650"/>
      <c r="BI15" s="303"/>
      <c r="BK15" s="292"/>
      <c r="BL15" s="650"/>
      <c r="BM15" s="293"/>
      <c r="BO15" s="292"/>
      <c r="BP15" s="650"/>
      <c r="BQ15" s="293"/>
      <c r="BR15" s="293"/>
      <c r="BS15" s="311"/>
    </row>
    <row r="16" spans="2:71" x14ac:dyDescent="0.25">
      <c r="Q16" s="310"/>
      <c r="R16" s="292"/>
      <c r="S16" s="292"/>
      <c r="T16" s="647"/>
      <c r="U16" s="293"/>
      <c r="W16" s="292"/>
      <c r="X16" s="647"/>
      <c r="Y16" s="293"/>
      <c r="AA16" s="292"/>
      <c r="AB16" s="647"/>
      <c r="AC16" s="293"/>
      <c r="AE16" s="292"/>
      <c r="AF16" s="647"/>
      <c r="AG16" s="293"/>
      <c r="AH16" s="293"/>
      <c r="AI16" s="311"/>
      <c r="AK16" s="310"/>
      <c r="AM16" s="356"/>
      <c r="AN16" s="342" t="s">
        <v>315</v>
      </c>
      <c r="AO16" s="343" t="s">
        <v>441</v>
      </c>
      <c r="AX16" s="357"/>
      <c r="AY16" s="311"/>
      <c r="BA16" s="310"/>
      <c r="BB16" s="292"/>
      <c r="BC16" s="292"/>
      <c r="BD16" s="650"/>
      <c r="BE16" s="293"/>
      <c r="BG16" s="292"/>
      <c r="BH16" s="650"/>
      <c r="BI16" s="293"/>
      <c r="BK16" s="292"/>
      <c r="BL16" s="650"/>
      <c r="BM16" s="293"/>
      <c r="BO16" s="292"/>
      <c r="BP16" s="650"/>
      <c r="BQ16" s="293"/>
      <c r="BR16" s="293"/>
      <c r="BS16" s="311"/>
    </row>
    <row r="17" spans="4:71" ht="13.5" customHeight="1" thickBot="1" x14ac:dyDescent="0.3">
      <c r="Q17" s="310"/>
      <c r="R17" s="292"/>
      <c r="S17" s="292"/>
      <c r="T17" s="648"/>
      <c r="U17" s="293"/>
      <c r="W17" s="292"/>
      <c r="X17" s="648"/>
      <c r="Y17" s="293"/>
      <c r="AA17" s="292"/>
      <c r="AB17" s="648"/>
      <c r="AC17" s="293"/>
      <c r="AE17" s="292"/>
      <c r="AF17" s="648"/>
      <c r="AG17" s="293"/>
      <c r="AH17" s="293"/>
      <c r="AI17" s="311"/>
      <c r="AK17" s="310"/>
      <c r="AM17" s="356"/>
      <c r="AX17" s="357"/>
      <c r="AY17" s="311"/>
      <c r="BA17" s="310"/>
      <c r="BB17" s="292"/>
      <c r="BC17" s="292"/>
      <c r="BD17" s="651"/>
      <c r="BE17" s="293"/>
      <c r="BG17" s="292"/>
      <c r="BH17" s="651"/>
      <c r="BI17" s="293"/>
      <c r="BK17" s="292"/>
      <c r="BL17" s="651"/>
      <c r="BM17" s="293"/>
      <c r="BO17" s="292"/>
      <c r="BP17" s="651"/>
      <c r="BQ17" s="293"/>
      <c r="BR17" s="293"/>
      <c r="BS17" s="311"/>
    </row>
    <row r="18" spans="4:71" ht="19.5" customHeight="1" thickBot="1" x14ac:dyDescent="0.35">
      <c r="H18" s="678"/>
      <c r="I18" s="678"/>
      <c r="J18" s="678"/>
      <c r="K18" s="678"/>
      <c r="Q18" s="310"/>
      <c r="R18" s="292"/>
      <c r="S18" s="294"/>
      <c r="T18" s="295"/>
      <c r="U18" s="296"/>
      <c r="W18" s="294"/>
      <c r="X18" s="295"/>
      <c r="Y18" s="304"/>
      <c r="Z18" s="297"/>
      <c r="AA18" s="305"/>
      <c r="AB18" s="306"/>
      <c r="AC18" s="296"/>
      <c r="AE18" s="305"/>
      <c r="AF18" s="306"/>
      <c r="AG18" s="296"/>
      <c r="AH18" s="293"/>
      <c r="AI18" s="311"/>
      <c r="AK18" s="310"/>
      <c r="AM18" s="356"/>
      <c r="AN18" s="323" t="s">
        <v>375</v>
      </c>
      <c r="AO18" s="323"/>
      <c r="AX18" s="357"/>
      <c r="AY18" s="311"/>
      <c r="BA18" s="310"/>
      <c r="BB18" s="292"/>
      <c r="BC18" s="294"/>
      <c r="BD18" s="295"/>
      <c r="BE18" s="296"/>
      <c r="BG18" s="294"/>
      <c r="BH18" s="295"/>
      <c r="BI18" s="304"/>
      <c r="BJ18" s="297"/>
      <c r="BK18" s="305"/>
      <c r="BL18" s="306"/>
      <c r="BM18" s="296"/>
      <c r="BO18" s="305"/>
      <c r="BP18" s="306"/>
      <c r="BQ18" s="296"/>
      <c r="BR18" s="293"/>
      <c r="BS18" s="311"/>
    </row>
    <row r="19" spans="4:71" ht="30" x14ac:dyDescent="0.25">
      <c r="F19" s="284"/>
      <c r="G19" s="284"/>
      <c r="H19" s="287"/>
      <c r="I19" s="284"/>
      <c r="J19" s="284"/>
      <c r="K19" s="285"/>
      <c r="L19" s="5"/>
      <c r="Q19" s="310"/>
      <c r="R19" s="292"/>
      <c r="W19" s="284"/>
      <c r="X19" s="284"/>
      <c r="Y19" s="287"/>
      <c r="Z19" s="284"/>
      <c r="AA19" s="284"/>
      <c r="AB19" s="285"/>
      <c r="AC19" s="5"/>
      <c r="AD19" s="5"/>
      <c r="AE19" s="5"/>
      <c r="AG19" s="290"/>
      <c r="AH19" s="293"/>
      <c r="AI19" s="311"/>
      <c r="AK19" s="310"/>
      <c r="AM19" s="356"/>
      <c r="AN19" s="386" t="s">
        <v>74</v>
      </c>
      <c r="AO19" s="387" t="s">
        <v>376</v>
      </c>
      <c r="AP19" s="387" t="s">
        <v>377</v>
      </c>
      <c r="AQ19" s="387" t="s">
        <v>378</v>
      </c>
      <c r="AR19" s="387" t="s">
        <v>379</v>
      </c>
      <c r="AS19" s="652" t="s">
        <v>380</v>
      </c>
      <c r="AT19" s="653"/>
      <c r="AX19" s="357"/>
      <c r="AY19" s="311"/>
      <c r="BA19" s="310"/>
      <c r="BB19" s="292"/>
      <c r="BG19" s="284"/>
      <c r="BH19" s="284"/>
      <c r="BI19" s="287"/>
      <c r="BJ19" s="284"/>
      <c r="BK19" s="284"/>
      <c r="BL19" s="285"/>
      <c r="BM19" s="5"/>
      <c r="BN19" s="5"/>
      <c r="BO19" s="5"/>
      <c r="BQ19" s="290"/>
      <c r="BR19" s="293"/>
      <c r="BS19" s="311"/>
    </row>
    <row r="20" spans="4:71" ht="18.75" customHeight="1" x14ac:dyDescent="0.25">
      <c r="F20" s="287"/>
      <c r="G20" s="288"/>
      <c r="H20" s="287"/>
      <c r="I20" s="286"/>
      <c r="J20" s="285"/>
      <c r="K20" s="287"/>
      <c r="Q20" s="310"/>
      <c r="R20" s="292"/>
      <c r="W20" s="287"/>
      <c r="X20" s="681" t="s">
        <v>518</v>
      </c>
      <c r="Y20" s="655"/>
      <c r="Z20" s="655"/>
      <c r="AA20" s="655"/>
      <c r="AB20" s="656"/>
      <c r="AH20" s="293"/>
      <c r="AI20" s="311"/>
      <c r="AK20" s="310"/>
      <c r="AM20" s="356"/>
      <c r="AN20" s="388">
        <v>1</v>
      </c>
      <c r="AO20" s="5" t="s">
        <v>443</v>
      </c>
      <c r="AP20" s="5" t="s">
        <v>444</v>
      </c>
      <c r="AQ20" s="131" t="s">
        <v>385</v>
      </c>
      <c r="AR20" s="131" t="s">
        <v>385</v>
      </c>
      <c r="AS20" s="363" t="s">
        <v>386</v>
      </c>
      <c r="AT20" s="389"/>
      <c r="AX20" s="357"/>
      <c r="AY20" s="311"/>
      <c r="BA20" s="310"/>
      <c r="BB20" s="292"/>
      <c r="BG20" s="287"/>
      <c r="BH20" s="660" t="s">
        <v>445</v>
      </c>
      <c r="BI20" s="661"/>
      <c r="BJ20" s="661"/>
      <c r="BK20" s="661"/>
      <c r="BL20" s="662"/>
      <c r="BR20" s="293"/>
      <c r="BS20" s="311"/>
    </row>
    <row r="21" spans="4:71" ht="24.75" customHeight="1" x14ac:dyDescent="0.25">
      <c r="G21" s="9"/>
      <c r="H21" s="298"/>
      <c r="J21" s="285"/>
      <c r="Q21" s="310"/>
      <c r="R21" s="292"/>
      <c r="X21" s="657"/>
      <c r="Y21" s="658"/>
      <c r="Z21" s="658"/>
      <c r="AA21" s="658"/>
      <c r="AB21" s="659"/>
      <c r="AH21" s="293"/>
      <c r="AI21" s="311"/>
      <c r="AK21" s="310"/>
      <c r="AM21" s="356"/>
      <c r="AN21" s="388">
        <v>2</v>
      </c>
      <c r="AO21" s="5" t="s">
        <v>446</v>
      </c>
      <c r="AP21" s="5" t="s">
        <v>383</v>
      </c>
      <c r="AQ21" s="131" t="s">
        <v>384</v>
      </c>
      <c r="AR21" s="131" t="s">
        <v>385</v>
      </c>
      <c r="AS21" s="363" t="s">
        <v>386</v>
      </c>
      <c r="AT21" s="389"/>
      <c r="AX21" s="357"/>
      <c r="AY21" s="311"/>
      <c r="BA21" s="310"/>
      <c r="BB21" s="292"/>
      <c r="BH21" s="663"/>
      <c r="BI21" s="664"/>
      <c r="BJ21" s="664"/>
      <c r="BK21" s="664"/>
      <c r="BL21" s="665"/>
      <c r="BR21" s="293"/>
      <c r="BS21" s="311"/>
    </row>
    <row r="22" spans="4:71" ht="24.75" customHeight="1" x14ac:dyDescent="0.25">
      <c r="G22" s="9"/>
      <c r="H22" s="679"/>
      <c r="I22" s="679"/>
      <c r="J22" s="679"/>
      <c r="K22" s="679"/>
      <c r="Q22" s="310"/>
      <c r="R22" s="292"/>
      <c r="X22" s="657"/>
      <c r="Y22" s="658"/>
      <c r="Z22" s="658"/>
      <c r="AA22" s="658"/>
      <c r="AB22" s="659"/>
      <c r="AH22" s="293"/>
      <c r="AI22" s="311"/>
      <c r="AK22" s="310"/>
      <c r="AM22" s="356"/>
      <c r="AN22" s="388">
        <v>3</v>
      </c>
      <c r="AO22" s="5" t="s">
        <v>447</v>
      </c>
      <c r="AP22" s="5" t="s">
        <v>397</v>
      </c>
      <c r="AQ22" s="131" t="s">
        <v>384</v>
      </c>
      <c r="AR22" s="131" t="s">
        <v>384</v>
      </c>
      <c r="AS22" s="363" t="s">
        <v>390</v>
      </c>
      <c r="AT22" s="389"/>
      <c r="AV22" s="5"/>
      <c r="AX22" s="357"/>
      <c r="AY22" s="311"/>
      <c r="BA22" s="310"/>
      <c r="BB22" s="292"/>
      <c r="BH22" s="663"/>
      <c r="BI22" s="664"/>
      <c r="BJ22" s="664"/>
      <c r="BK22" s="664"/>
      <c r="BL22" s="665"/>
      <c r="BR22" s="293"/>
      <c r="BS22" s="311"/>
    </row>
    <row r="23" spans="4:71" ht="24.75" customHeight="1" thickBot="1" x14ac:dyDescent="0.3">
      <c r="G23" s="9"/>
      <c r="H23" s="682"/>
      <c r="I23" s="682"/>
      <c r="J23" s="285"/>
      <c r="Q23" s="310"/>
      <c r="R23" s="292"/>
      <c r="X23" s="657"/>
      <c r="Y23" s="658"/>
      <c r="Z23" s="658"/>
      <c r="AA23" s="658"/>
      <c r="AB23" s="659"/>
      <c r="AH23" s="293"/>
      <c r="AI23" s="311"/>
      <c r="AK23" s="310"/>
      <c r="AM23" s="356"/>
      <c r="AN23" s="390">
        <v>4</v>
      </c>
      <c r="AO23" s="391" t="s">
        <v>391</v>
      </c>
      <c r="AP23" s="391" t="s">
        <v>397</v>
      </c>
      <c r="AQ23" s="392" t="s">
        <v>384</v>
      </c>
      <c r="AR23" s="392" t="s">
        <v>384</v>
      </c>
      <c r="AS23" s="393" t="s">
        <v>392</v>
      </c>
      <c r="AT23" s="394"/>
      <c r="AX23" s="357"/>
      <c r="AY23" s="311"/>
      <c r="BA23" s="310"/>
      <c r="BB23" s="292"/>
      <c r="BH23" s="663"/>
      <c r="BI23" s="664"/>
      <c r="BJ23" s="664"/>
      <c r="BK23" s="664"/>
      <c r="BL23" s="665"/>
      <c r="BR23" s="293"/>
      <c r="BS23" s="311"/>
    </row>
    <row r="24" spans="4:71" ht="24.75" customHeight="1" x14ac:dyDescent="0.25">
      <c r="G24" s="9"/>
      <c r="H24" s="301"/>
      <c r="I24" s="301"/>
      <c r="J24" s="285"/>
      <c r="Q24" s="310"/>
      <c r="R24" s="292"/>
      <c r="X24" s="657"/>
      <c r="Y24" s="658"/>
      <c r="Z24" s="658"/>
      <c r="AA24" s="658"/>
      <c r="AB24" s="659"/>
      <c r="AH24" s="293"/>
      <c r="AI24" s="311"/>
      <c r="AK24" s="310"/>
      <c r="AM24" s="356"/>
      <c r="AX24" s="357"/>
      <c r="AY24" s="311"/>
      <c r="BA24" s="310"/>
      <c r="BB24" s="292"/>
      <c r="BH24" s="663"/>
      <c r="BI24" s="664"/>
      <c r="BJ24" s="664"/>
      <c r="BK24" s="664"/>
      <c r="BL24" s="665"/>
      <c r="BR24" s="293"/>
      <c r="BS24" s="311"/>
    </row>
    <row r="25" spans="4:71" ht="18.75" customHeight="1" x14ac:dyDescent="0.25">
      <c r="G25" s="9"/>
      <c r="H25" s="301"/>
      <c r="I25" s="301"/>
      <c r="J25" s="285"/>
      <c r="Q25" s="310"/>
      <c r="R25" s="292"/>
      <c r="T25" t="s">
        <v>448</v>
      </c>
      <c r="X25" s="318"/>
      <c r="Y25" s="669" t="s">
        <v>449</v>
      </c>
      <c r="Z25" s="669"/>
      <c r="AA25" s="669"/>
      <c r="AB25" s="320"/>
      <c r="AH25" s="293"/>
      <c r="AI25" s="311"/>
      <c r="AK25" s="310"/>
      <c r="AM25" s="356"/>
      <c r="AN25" s="670" t="s">
        <v>394</v>
      </c>
      <c r="AO25" s="670"/>
      <c r="AX25" s="357"/>
      <c r="AY25" s="311"/>
      <c r="BA25" s="310"/>
      <c r="BB25" s="292"/>
      <c r="BD25" t="s">
        <v>448</v>
      </c>
      <c r="BH25" s="318"/>
      <c r="BI25" s="669" t="s">
        <v>449</v>
      </c>
      <c r="BJ25" s="669"/>
      <c r="BK25" s="669"/>
      <c r="BL25" s="320"/>
      <c r="BR25" s="293"/>
      <c r="BS25" s="311"/>
    </row>
    <row r="26" spans="4:71" ht="8.25" customHeight="1" x14ac:dyDescent="0.25">
      <c r="D26" s="286"/>
      <c r="E26" s="285"/>
      <c r="G26" s="9"/>
      <c r="H26" s="9"/>
      <c r="Q26" s="310"/>
      <c r="R26" s="292"/>
      <c r="U26" s="286"/>
      <c r="V26" s="285"/>
      <c r="X26" s="316"/>
      <c r="Y26" s="321"/>
      <c r="Z26" s="321"/>
      <c r="AA26" s="321"/>
      <c r="AB26" s="317"/>
      <c r="AH26" s="293"/>
      <c r="AI26" s="311"/>
      <c r="AK26" s="310"/>
      <c r="AM26" s="356"/>
      <c r="AN26" s="671"/>
      <c r="AO26" s="671"/>
      <c r="AQ26" s="9"/>
      <c r="AR26" s="9"/>
      <c r="AX26" s="357"/>
      <c r="AY26" s="311"/>
      <c r="BA26" s="310"/>
      <c r="BB26" s="292"/>
      <c r="BE26" s="286"/>
      <c r="BF26" s="285"/>
      <c r="BH26" s="316"/>
      <c r="BI26" s="321"/>
      <c r="BJ26" s="321"/>
      <c r="BK26" s="321"/>
      <c r="BL26" s="317"/>
      <c r="BR26" s="293"/>
      <c r="BS26" s="311"/>
    </row>
    <row r="27" spans="4:71" ht="30" x14ac:dyDescent="0.3">
      <c r="D27" s="281"/>
      <c r="E27" s="281"/>
      <c r="G27" s="9"/>
      <c r="H27" s="9"/>
      <c r="Q27" s="310"/>
      <c r="R27" s="294"/>
      <c r="S27" s="295"/>
      <c r="T27" s="295"/>
      <c r="U27" s="299"/>
      <c r="V27" s="299"/>
      <c r="W27" s="295"/>
      <c r="X27" s="300"/>
      <c r="Y27" s="300"/>
      <c r="Z27" s="295"/>
      <c r="AA27" s="295"/>
      <c r="AB27" s="295"/>
      <c r="AC27" s="295"/>
      <c r="AD27" s="295"/>
      <c r="AE27" s="295"/>
      <c r="AF27" s="295"/>
      <c r="AG27" s="295"/>
      <c r="AH27" s="296"/>
      <c r="AI27" s="311"/>
      <c r="AK27" s="310"/>
      <c r="AM27" s="356"/>
      <c r="AN27" s="351" t="s">
        <v>74</v>
      </c>
      <c r="AO27" s="352" t="s">
        <v>376</v>
      </c>
      <c r="AP27" s="352" t="s">
        <v>396</v>
      </c>
      <c r="AQ27" s="672" t="s">
        <v>380</v>
      </c>
      <c r="AR27" s="673"/>
      <c r="AS27" s="673"/>
      <c r="AT27" s="674"/>
      <c r="AV27" s="284"/>
      <c r="AW27" s="284"/>
      <c r="AX27" s="357"/>
      <c r="AY27" s="311"/>
      <c r="BA27" s="310"/>
      <c r="BB27" s="294"/>
      <c r="BC27" s="295"/>
      <c r="BD27" s="295"/>
      <c r="BE27" s="299"/>
      <c r="BF27" s="299"/>
      <c r="BG27" s="295"/>
      <c r="BH27" s="300"/>
      <c r="BI27" s="300"/>
      <c r="BJ27" s="295"/>
      <c r="BK27" s="295"/>
      <c r="BL27" s="295"/>
      <c r="BM27" s="295"/>
      <c r="BN27" s="295"/>
      <c r="BO27" s="295"/>
      <c r="BP27" s="295"/>
      <c r="BQ27" s="295"/>
      <c r="BR27" s="296"/>
      <c r="BS27" s="311"/>
    </row>
    <row r="28" spans="4:71" ht="21.75" customHeight="1" x14ac:dyDescent="0.25">
      <c r="Q28" s="312"/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  <c r="AD28" s="313"/>
      <c r="AE28" s="313"/>
      <c r="AF28" s="313"/>
      <c r="AG28" s="313"/>
      <c r="AH28" s="313"/>
      <c r="AI28" s="314"/>
      <c r="AK28" s="310"/>
      <c r="AM28" s="356"/>
      <c r="AN28" s="345">
        <v>1</v>
      </c>
      <c r="AO28" s="5" t="s">
        <v>450</v>
      </c>
      <c r="AP28" s="5" t="s">
        <v>397</v>
      </c>
      <c r="AQ28" s="675" t="s">
        <v>451</v>
      </c>
      <c r="AR28" s="676"/>
      <c r="AS28" s="676"/>
      <c r="AT28" s="677"/>
      <c r="AV28" s="286"/>
      <c r="AW28" s="286"/>
      <c r="AX28" s="357"/>
      <c r="AY28" s="311"/>
      <c r="BA28" s="312"/>
      <c r="BB28" s="313"/>
      <c r="BC28" s="313"/>
      <c r="BD28" s="313"/>
      <c r="BE28" s="313"/>
      <c r="BF28" s="313"/>
      <c r="BG28" s="313"/>
      <c r="BH28" s="313"/>
      <c r="BI28" s="313"/>
      <c r="BJ28" s="313"/>
      <c r="BK28" s="313"/>
      <c r="BL28" s="313"/>
      <c r="BM28" s="313"/>
      <c r="BN28" s="313"/>
      <c r="BO28" s="313"/>
      <c r="BP28" s="313"/>
      <c r="BQ28" s="313"/>
      <c r="BR28" s="313"/>
      <c r="BS28" s="314"/>
    </row>
    <row r="29" spans="4:71" x14ac:dyDescent="0.25">
      <c r="AK29" s="310"/>
      <c r="AM29" s="356"/>
      <c r="AN29" s="345">
        <v>2</v>
      </c>
      <c r="AO29" s="5" t="s">
        <v>446</v>
      </c>
      <c r="AP29" s="5" t="s">
        <v>397</v>
      </c>
      <c r="AQ29" s="675"/>
      <c r="AR29" s="676"/>
      <c r="AS29" s="676"/>
      <c r="AT29" s="677"/>
      <c r="AV29" s="286"/>
      <c r="AW29" s="286"/>
      <c r="AX29" s="357"/>
      <c r="AY29" s="311"/>
    </row>
    <row r="30" spans="4:71" ht="17.25" customHeight="1" x14ac:dyDescent="0.25"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K30" s="310"/>
      <c r="AM30" s="356"/>
      <c r="AN30" s="345">
        <v>3</v>
      </c>
      <c r="AO30" s="5" t="s">
        <v>447</v>
      </c>
      <c r="AQ30" s="381" t="s">
        <v>399</v>
      </c>
      <c r="AR30" s="382"/>
      <c r="AS30" s="383"/>
      <c r="AT30" s="384"/>
      <c r="AV30" s="88"/>
      <c r="AW30" s="88"/>
      <c r="AX30" s="357"/>
      <c r="AY30" s="311"/>
      <c r="BA30" s="257"/>
      <c r="BB30" s="257"/>
      <c r="BC30" s="257"/>
      <c r="BD30" s="257"/>
      <c r="BE30" s="257"/>
      <c r="BF30" s="257"/>
      <c r="BG30" s="257"/>
      <c r="BH30" s="257"/>
      <c r="BI30" s="257"/>
      <c r="BJ30" s="257"/>
      <c r="BK30" s="257"/>
      <c r="BL30" s="257"/>
      <c r="BM30" s="257"/>
      <c r="BN30" s="257"/>
      <c r="BO30" s="257"/>
      <c r="BP30" s="257"/>
      <c r="BQ30" s="257"/>
      <c r="BR30" s="257"/>
      <c r="BS30" s="257"/>
    </row>
    <row r="31" spans="4:71" ht="17.25" customHeight="1" x14ac:dyDescent="0.25"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K31" s="310"/>
      <c r="AM31" s="356"/>
      <c r="AN31" s="345">
        <v>4</v>
      </c>
      <c r="AO31" s="5" t="s">
        <v>391</v>
      </c>
      <c r="AQ31" s="381" t="s">
        <v>400</v>
      </c>
      <c r="AR31" s="382"/>
      <c r="AS31" s="383"/>
      <c r="AT31" s="384"/>
      <c r="AV31" s="88"/>
      <c r="AW31" s="88"/>
      <c r="AX31" s="357"/>
      <c r="AY31" s="311"/>
      <c r="BA31" s="257"/>
      <c r="BB31" s="257"/>
      <c r="BC31" s="257"/>
      <c r="BD31" s="257"/>
      <c r="BE31" s="257"/>
      <c r="BF31" s="257"/>
      <c r="BG31" s="257"/>
      <c r="BH31" s="257"/>
      <c r="BI31" s="257"/>
      <c r="BJ31" s="257"/>
      <c r="BK31" s="257"/>
      <c r="BL31" s="257"/>
      <c r="BM31" s="257"/>
      <c r="BN31" s="257"/>
      <c r="BO31" s="257"/>
      <c r="BP31" s="257"/>
      <c r="BQ31" s="257"/>
      <c r="BR31" s="257"/>
      <c r="BS31" s="257"/>
    </row>
    <row r="32" spans="4:71" x14ac:dyDescent="0.25">
      <c r="AK32" s="310"/>
      <c r="AM32" s="356"/>
      <c r="AN32" s="345">
        <v>5</v>
      </c>
      <c r="AO32" s="5" t="s">
        <v>401</v>
      </c>
      <c r="AQ32" s="381" t="s">
        <v>402</v>
      </c>
      <c r="AR32" s="382"/>
      <c r="AS32" s="383"/>
      <c r="AT32" s="384"/>
      <c r="AV32" s="88"/>
      <c r="AW32" s="88"/>
      <c r="AX32" s="357"/>
      <c r="AY32" s="311"/>
    </row>
    <row r="33" spans="2:51" ht="24.75" customHeight="1" x14ac:dyDescent="0.25">
      <c r="B33" s="258"/>
      <c r="C33" s="257"/>
      <c r="D33" s="258"/>
      <c r="E33" s="259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Q33" s="257"/>
      <c r="R33" s="258"/>
      <c r="S33" s="258"/>
      <c r="T33" s="257"/>
      <c r="U33" s="258"/>
      <c r="V33" s="259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K33" s="310"/>
      <c r="AM33" s="356"/>
      <c r="AN33" s="346"/>
      <c r="AO33" s="347"/>
      <c r="AP33" s="321"/>
      <c r="AQ33" s="380"/>
      <c r="AR33" s="361"/>
      <c r="AS33" s="361"/>
      <c r="AT33" s="362"/>
      <c r="AX33" s="357"/>
      <c r="AY33" s="311"/>
    </row>
    <row r="34" spans="2:51" x14ac:dyDescent="0.25">
      <c r="AK34" s="310"/>
      <c r="AM34" s="356"/>
      <c r="AX34" s="357"/>
      <c r="AY34" s="311"/>
    </row>
    <row r="35" spans="2:51" x14ac:dyDescent="0.25">
      <c r="AK35" s="310"/>
      <c r="AM35" s="356"/>
      <c r="AX35" s="357"/>
      <c r="AY35" s="311"/>
    </row>
    <row r="36" spans="2:51" x14ac:dyDescent="0.25">
      <c r="AK36" s="310"/>
      <c r="AM36" s="356"/>
      <c r="AN36" s="131"/>
      <c r="AO36" s="5"/>
      <c r="AQ36" s="9"/>
      <c r="AR36" s="9"/>
      <c r="AX36" s="357"/>
      <c r="AY36" s="311"/>
    </row>
    <row r="37" spans="2:51" ht="8.25" customHeight="1" x14ac:dyDescent="0.25">
      <c r="AK37" s="310"/>
      <c r="AM37" s="356"/>
      <c r="AN37" s="131"/>
      <c r="AO37" s="5"/>
      <c r="AQ37" s="9"/>
      <c r="AR37" s="9"/>
      <c r="AX37" s="357"/>
      <c r="AY37" s="311"/>
    </row>
    <row r="38" spans="2:51" x14ac:dyDescent="0.25"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7"/>
      <c r="Q38" s="307"/>
      <c r="R38" s="308"/>
      <c r="S38" s="308"/>
      <c r="T38" s="308"/>
      <c r="U38" s="308"/>
      <c r="V38" s="308"/>
      <c r="W38" s="308"/>
      <c r="X38" s="308"/>
      <c r="Y38" s="308"/>
      <c r="Z38" s="308"/>
      <c r="AA38" s="308"/>
      <c r="AB38" s="308"/>
      <c r="AC38" s="308"/>
      <c r="AD38" s="308"/>
      <c r="AE38" s="308"/>
      <c r="AF38" s="308"/>
      <c r="AG38" s="308"/>
      <c r="AH38" s="308"/>
      <c r="AI38" s="309"/>
      <c r="AK38" s="310"/>
      <c r="AM38" s="356"/>
      <c r="AN38" s="131"/>
      <c r="AO38" s="5"/>
      <c r="AQ38" s="9"/>
      <c r="AR38" s="9"/>
      <c r="AX38" s="357"/>
      <c r="AY38" s="311"/>
    </row>
    <row r="39" spans="2:51" x14ac:dyDescent="0.25">
      <c r="O39" s="208"/>
      <c r="Q39" s="310"/>
      <c r="AI39" s="311"/>
      <c r="AK39" s="310"/>
      <c r="AM39" s="356"/>
      <c r="AX39" s="357"/>
      <c r="AY39" s="311"/>
    </row>
    <row r="40" spans="2:51" x14ac:dyDescent="0.25">
      <c r="O40" s="208"/>
      <c r="Q40" s="310"/>
      <c r="AI40" s="311"/>
      <c r="AK40" s="310"/>
      <c r="AM40" s="356"/>
      <c r="AX40" s="357"/>
      <c r="AY40" s="311"/>
    </row>
    <row r="41" spans="2:51" x14ac:dyDescent="0.25">
      <c r="O41" s="208"/>
      <c r="Q41" s="310"/>
      <c r="AI41" s="311"/>
      <c r="AK41" s="310"/>
      <c r="AM41" s="358"/>
      <c r="AN41" s="359"/>
      <c r="AO41" s="359"/>
      <c r="AP41" s="359"/>
      <c r="AQ41" s="359"/>
      <c r="AR41" s="359"/>
      <c r="AS41" s="359"/>
      <c r="AT41" s="359"/>
      <c r="AU41" s="359"/>
      <c r="AV41" s="359"/>
      <c r="AW41" s="359"/>
      <c r="AX41" s="360"/>
      <c r="AY41" s="311"/>
    </row>
    <row r="42" spans="2:51" x14ac:dyDescent="0.25">
      <c r="O42" s="208"/>
      <c r="Q42" s="310"/>
      <c r="AI42" s="311"/>
      <c r="AK42" s="312"/>
      <c r="AL42" s="313"/>
      <c r="AM42" s="313"/>
      <c r="AN42" s="313"/>
      <c r="AO42" s="313"/>
      <c r="AP42" s="313"/>
      <c r="AQ42" s="313"/>
      <c r="AR42" s="313"/>
      <c r="AS42" s="313"/>
      <c r="AT42" s="313"/>
      <c r="AU42" s="313"/>
      <c r="AV42" s="313"/>
      <c r="AW42" s="313"/>
      <c r="AX42" s="313"/>
      <c r="AY42" s="314"/>
    </row>
    <row r="43" spans="2:51" ht="17.25" x14ac:dyDescent="0.3">
      <c r="B43" s="289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1"/>
      <c r="O43" s="208"/>
      <c r="Q43" s="310"/>
      <c r="R43" s="328"/>
      <c r="S43" s="327" t="s">
        <v>358</v>
      </c>
      <c r="T43" s="323"/>
      <c r="U43" s="324"/>
      <c r="V43" s="325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9"/>
      <c r="AI43" s="311"/>
    </row>
    <row r="44" spans="2:51" ht="17.25" x14ac:dyDescent="0.3">
      <c r="B44" s="292"/>
      <c r="D44" s="282"/>
      <c r="E44" s="283"/>
      <c r="H44" s="307"/>
      <c r="I44" s="308"/>
      <c r="J44" s="308"/>
      <c r="K44" s="309"/>
      <c r="M44" s="293"/>
      <c r="O44" s="208"/>
      <c r="Q44" s="310"/>
      <c r="R44" s="292"/>
      <c r="S44" s="330" t="s">
        <v>358</v>
      </c>
      <c r="T44" s="281"/>
      <c r="U44" s="282"/>
      <c r="V44" s="283"/>
      <c r="AH44" s="293"/>
      <c r="AI44" s="311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</row>
    <row r="45" spans="2:51" x14ac:dyDescent="0.25">
      <c r="B45" s="292"/>
      <c r="H45" s="315" t="s">
        <v>519</v>
      </c>
      <c r="K45" s="311"/>
      <c r="M45" s="293"/>
      <c r="O45" s="208"/>
      <c r="Q45" s="310"/>
      <c r="R45" s="292"/>
      <c r="S45" t="s">
        <v>359</v>
      </c>
      <c r="T45" s="331"/>
      <c r="X45" s="331"/>
      <c r="AB45" s="331"/>
      <c r="AF45" s="331"/>
      <c r="AH45" s="293"/>
      <c r="AI45" s="311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57"/>
      <c r="AW45" s="257"/>
      <c r="AX45" s="257"/>
      <c r="AY45" s="257"/>
    </row>
    <row r="46" spans="2:51" x14ac:dyDescent="0.25">
      <c r="B46" s="292"/>
      <c r="H46" s="315"/>
      <c r="K46" s="311"/>
      <c r="M46" s="293"/>
      <c r="O46" s="208"/>
      <c r="Q46" s="310"/>
      <c r="R46" s="292"/>
      <c r="T46" s="287" t="s">
        <v>361</v>
      </c>
      <c r="X46" s="331"/>
      <c r="Y46" s="255"/>
      <c r="AB46" s="331"/>
      <c r="AF46" s="331"/>
      <c r="AH46" s="293"/>
      <c r="AI46" s="311"/>
    </row>
    <row r="47" spans="2:51" ht="17.25" x14ac:dyDescent="0.25">
      <c r="B47" s="292"/>
      <c r="H47" s="312"/>
      <c r="I47" s="313"/>
      <c r="J47" s="313"/>
      <c r="K47" s="314"/>
      <c r="M47" s="293"/>
      <c r="O47" s="208"/>
      <c r="Q47" s="310"/>
      <c r="R47" s="292"/>
      <c r="T47" s="287" t="s">
        <v>365</v>
      </c>
      <c r="X47" s="331"/>
      <c r="AB47" s="331"/>
      <c r="AF47" s="331"/>
      <c r="AH47" s="293"/>
      <c r="AI47" s="311"/>
      <c r="AK47" s="257"/>
      <c r="AL47" s="258" t="s">
        <v>403</v>
      </c>
      <c r="AM47" s="257"/>
      <c r="AN47" s="258" t="s">
        <v>452</v>
      </c>
      <c r="AO47" s="259" t="s">
        <v>453</v>
      </c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</row>
    <row r="48" spans="2:51" x14ac:dyDescent="0.25">
      <c r="B48" s="292"/>
      <c r="M48" s="293"/>
      <c r="O48" s="208"/>
      <c r="Q48" s="310"/>
      <c r="R48" s="292"/>
      <c r="T48" s="331"/>
      <c r="X48" s="331"/>
      <c r="AB48" s="331"/>
      <c r="AF48" s="331"/>
      <c r="AH48" s="293"/>
      <c r="AI48" s="311"/>
    </row>
    <row r="49" spans="1:51" ht="40.5" customHeight="1" x14ac:dyDescent="0.25">
      <c r="B49" s="292"/>
      <c r="H49" s="678" t="s">
        <v>520</v>
      </c>
      <c r="I49" s="678"/>
      <c r="J49" s="678"/>
      <c r="K49" s="678"/>
      <c r="M49" s="293"/>
      <c r="O49" s="208"/>
      <c r="Q49" s="310"/>
      <c r="R49" s="292"/>
      <c r="T49" s="287"/>
      <c r="X49" s="331"/>
      <c r="Y49" s="297"/>
      <c r="Z49" s="297"/>
      <c r="AA49" s="297"/>
      <c r="AB49" s="297"/>
      <c r="AE49" s="297"/>
      <c r="AF49" s="297"/>
      <c r="AH49" s="293"/>
      <c r="AI49" s="311"/>
    </row>
    <row r="50" spans="1:51" x14ac:dyDescent="0.25">
      <c r="B50" s="292"/>
      <c r="F50" s="284"/>
      <c r="G50" s="284"/>
      <c r="H50" s="287"/>
      <c r="I50" s="284"/>
      <c r="J50" s="284"/>
      <c r="K50" s="285"/>
      <c r="L50" s="5"/>
      <c r="M50" s="293"/>
      <c r="O50" s="208"/>
      <c r="Q50" s="310"/>
      <c r="R50" s="292"/>
      <c r="T50" s="287"/>
      <c r="X50" s="331"/>
      <c r="Y50" s="287"/>
      <c r="Z50" s="50"/>
      <c r="AA50" s="284"/>
      <c r="AB50" s="285"/>
      <c r="AC50" s="5"/>
      <c r="AD50" s="5"/>
      <c r="AE50" s="5"/>
      <c r="AH50" s="293"/>
      <c r="AI50" s="311"/>
    </row>
    <row r="51" spans="1:51" ht="17.25" customHeight="1" x14ac:dyDescent="0.25">
      <c r="B51" s="292"/>
      <c r="F51" s="287"/>
      <c r="G51" s="288"/>
      <c r="H51" s="287"/>
      <c r="I51" s="286"/>
      <c r="J51" s="285"/>
      <c r="K51" s="287"/>
      <c r="M51" s="293"/>
      <c r="O51" s="208"/>
      <c r="Q51" s="310"/>
      <c r="R51" s="292"/>
      <c r="W51" s="287"/>
      <c r="X51" s="287"/>
      <c r="Y51" s="287"/>
      <c r="Z51" s="287"/>
      <c r="AA51" s="287"/>
      <c r="AB51" s="287"/>
      <c r="AH51" s="293"/>
      <c r="AI51" s="311"/>
    </row>
    <row r="52" spans="1:51" x14ac:dyDescent="0.25">
      <c r="B52" s="292"/>
      <c r="G52" s="9"/>
      <c r="H52" s="298" t="s">
        <v>521</v>
      </c>
      <c r="J52" s="285"/>
      <c r="M52" s="293"/>
      <c r="O52" s="208"/>
      <c r="Q52" s="310"/>
      <c r="R52" s="292"/>
      <c r="X52" s="287"/>
      <c r="Y52" s="287"/>
      <c r="Z52" s="287"/>
      <c r="AA52" s="287"/>
      <c r="AB52" s="287"/>
      <c r="AH52" s="293"/>
      <c r="AI52" s="311"/>
      <c r="AK52" s="307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W52" s="308"/>
      <c r="AX52" s="308"/>
      <c r="AY52" s="309"/>
    </row>
    <row r="53" spans="1:51" x14ac:dyDescent="0.25">
      <c r="B53" s="292"/>
      <c r="G53" s="9"/>
      <c r="H53" s="679" t="s">
        <v>522</v>
      </c>
      <c r="I53" s="679"/>
      <c r="J53" s="679"/>
      <c r="K53" s="679"/>
      <c r="M53" s="293"/>
      <c r="O53" s="208"/>
      <c r="Q53" s="310"/>
      <c r="R53" s="292"/>
      <c r="X53" s="287"/>
      <c r="Y53" s="287"/>
      <c r="Z53" s="287"/>
      <c r="AA53" s="287"/>
      <c r="AB53" s="287"/>
      <c r="AH53" s="293"/>
      <c r="AI53" s="311"/>
      <c r="AK53" s="310"/>
      <c r="AY53" s="311"/>
    </row>
    <row r="54" spans="1:51" x14ac:dyDescent="0.25">
      <c r="B54" s="292"/>
      <c r="G54" s="9"/>
      <c r="H54" s="680" t="s">
        <v>523</v>
      </c>
      <c r="I54" s="680"/>
      <c r="J54" s="285"/>
      <c r="M54" s="293"/>
      <c r="O54" s="208"/>
      <c r="Q54" s="310"/>
      <c r="R54" s="292"/>
      <c r="X54" s="287"/>
      <c r="Y54" s="287"/>
      <c r="Z54" s="287"/>
      <c r="AA54" s="287"/>
      <c r="AB54" s="287"/>
      <c r="AH54" s="293"/>
      <c r="AI54" s="311"/>
      <c r="AK54" s="310"/>
      <c r="AY54" s="311"/>
    </row>
    <row r="55" spans="1:51" x14ac:dyDescent="0.25">
      <c r="B55" s="292"/>
      <c r="G55" s="9"/>
      <c r="H55" s="301"/>
      <c r="I55" s="301"/>
      <c r="J55" s="285"/>
      <c r="M55" s="293"/>
      <c r="O55" s="208"/>
      <c r="Q55" s="310"/>
      <c r="R55" s="292"/>
      <c r="X55" s="319"/>
      <c r="Y55" s="666"/>
      <c r="Z55" s="666"/>
      <c r="AA55" s="666"/>
      <c r="AB55" s="319"/>
      <c r="AH55" s="293"/>
      <c r="AI55" s="311"/>
      <c r="AK55" s="310"/>
      <c r="AY55" s="311"/>
    </row>
    <row r="56" spans="1:51" x14ac:dyDescent="0.25">
      <c r="B56" s="292"/>
      <c r="D56" s="286"/>
      <c r="E56" s="285"/>
      <c r="G56" s="9"/>
      <c r="H56" s="9"/>
      <c r="M56" s="293"/>
      <c r="O56" s="208"/>
      <c r="Q56" s="310"/>
      <c r="R56" s="292"/>
      <c r="U56" s="286"/>
      <c r="V56" s="285"/>
      <c r="X56" s="285"/>
      <c r="AB56" s="285"/>
      <c r="AH56" s="293"/>
      <c r="AI56" s="311"/>
      <c r="AK56" s="310"/>
      <c r="AY56" s="311"/>
    </row>
    <row r="57" spans="1:51" ht="16.5" x14ac:dyDescent="0.3">
      <c r="B57" s="294"/>
      <c r="C57" s="295"/>
      <c r="D57" s="299"/>
      <c r="E57" s="299"/>
      <c r="F57" s="295"/>
      <c r="G57" s="300"/>
      <c r="H57" s="300"/>
      <c r="I57" s="295"/>
      <c r="J57" s="295"/>
      <c r="K57" s="295"/>
      <c r="L57" s="295"/>
      <c r="M57" s="296"/>
      <c r="O57" s="208"/>
      <c r="Q57" s="310"/>
      <c r="R57" s="294"/>
      <c r="S57" s="295"/>
      <c r="T57" s="295"/>
      <c r="U57" s="299"/>
      <c r="V57" s="299"/>
      <c r="W57" s="295"/>
      <c r="X57" s="300"/>
      <c r="Y57" s="300"/>
      <c r="Z57" s="295"/>
      <c r="AA57" s="295"/>
      <c r="AB57" s="295"/>
      <c r="AC57" s="295"/>
      <c r="AD57" s="295"/>
      <c r="AE57" s="295"/>
      <c r="AF57" s="295"/>
      <c r="AG57" s="295"/>
      <c r="AH57" s="296"/>
      <c r="AI57" s="311"/>
      <c r="AK57" s="310"/>
      <c r="AM57" s="333"/>
      <c r="AN57" s="334"/>
      <c r="AO57" s="334"/>
      <c r="AP57" s="334"/>
      <c r="AQ57" s="334"/>
      <c r="AR57" s="334"/>
      <c r="AS57" s="334"/>
      <c r="AT57" s="334"/>
      <c r="AU57" s="334"/>
      <c r="AV57" s="334"/>
      <c r="AW57" s="335"/>
      <c r="AY57" s="311"/>
    </row>
    <row r="58" spans="1:51" ht="18.75" customHeight="1" x14ac:dyDescent="0.3"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10"/>
      <c r="Q58" s="312"/>
      <c r="R58" s="313"/>
      <c r="S58" s="313"/>
      <c r="T58" s="313"/>
      <c r="U58" s="313"/>
      <c r="V58" s="313"/>
      <c r="W58" s="313"/>
      <c r="X58" s="313"/>
      <c r="Y58" s="313"/>
      <c r="Z58" s="313"/>
      <c r="AA58" s="313"/>
      <c r="AB58" s="313"/>
      <c r="AC58" s="313"/>
      <c r="AD58" s="313"/>
      <c r="AE58" s="313"/>
      <c r="AF58" s="313"/>
      <c r="AG58" s="313"/>
      <c r="AH58" s="313"/>
      <c r="AI58" s="314"/>
      <c r="AK58" s="310"/>
      <c r="AM58" s="336"/>
      <c r="AN58" s="364" t="s">
        <v>404</v>
      </c>
      <c r="AO58" s="365" t="s">
        <v>405</v>
      </c>
      <c r="AW58" s="337"/>
      <c r="AY58" s="311"/>
    </row>
    <row r="59" spans="1:51" ht="18.75" customHeight="1" x14ac:dyDescent="0.25">
      <c r="AK59" s="310"/>
      <c r="AM59" s="336"/>
      <c r="AN59" s="338" t="s">
        <v>362</v>
      </c>
      <c r="AO59" s="339" t="s">
        <v>363</v>
      </c>
      <c r="AW59" s="337"/>
      <c r="AY59" s="311"/>
    </row>
    <row r="60" spans="1:51" ht="18.75" customHeight="1" x14ac:dyDescent="0.25">
      <c r="A60" s="257"/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K60" s="310"/>
      <c r="AM60" s="336"/>
      <c r="AN60" s="340" t="s">
        <v>366</v>
      </c>
      <c r="AO60" s="341" t="s">
        <v>367</v>
      </c>
      <c r="AW60" s="337"/>
      <c r="AY60" s="311"/>
    </row>
    <row r="61" spans="1:51" ht="18.75" customHeight="1" x14ac:dyDescent="0.25">
      <c r="A61" s="257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7"/>
      <c r="AI61" s="257"/>
      <c r="AK61" s="310"/>
      <c r="AM61" s="336"/>
      <c r="AN61" s="342" t="s">
        <v>315</v>
      </c>
      <c r="AO61" s="343" t="s">
        <v>454</v>
      </c>
      <c r="AW61" s="337"/>
      <c r="AY61" s="311"/>
    </row>
    <row r="62" spans="1:51" ht="14.25" customHeight="1" x14ac:dyDescent="0.25">
      <c r="AK62" s="310"/>
      <c r="AM62" s="336"/>
      <c r="AW62" s="337"/>
      <c r="AY62" s="311"/>
    </row>
    <row r="63" spans="1:51" ht="24" customHeight="1" x14ac:dyDescent="0.3">
      <c r="AK63" s="310"/>
      <c r="AM63" s="336"/>
      <c r="AN63" s="366" t="s">
        <v>455</v>
      </c>
      <c r="AO63" s="323" t="s">
        <v>456</v>
      </c>
      <c r="AW63" s="337"/>
      <c r="AY63" s="311"/>
    </row>
    <row r="64" spans="1:51" ht="18" customHeight="1" x14ac:dyDescent="0.25">
      <c r="Q64" s="257"/>
      <c r="R64" s="258"/>
      <c r="S64" s="258"/>
      <c r="T64" s="257"/>
      <c r="U64" s="258"/>
      <c r="V64" s="259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K64" s="310"/>
      <c r="AM64" s="336"/>
      <c r="AN64" s="371" t="s">
        <v>74</v>
      </c>
      <c r="AO64" s="372" t="s">
        <v>407</v>
      </c>
      <c r="AP64" s="372" t="s">
        <v>408</v>
      </c>
      <c r="AQ64" s="667" t="s">
        <v>380</v>
      </c>
      <c r="AR64" s="667"/>
      <c r="AS64" s="667"/>
      <c r="AT64" s="668"/>
      <c r="AU64" s="367"/>
      <c r="AV64" s="5"/>
      <c r="AW64" s="337"/>
      <c r="AY64" s="311"/>
    </row>
    <row r="65" spans="17:51" ht="18.75" customHeight="1" x14ac:dyDescent="0.25">
      <c r="AK65" s="368"/>
      <c r="AL65" s="5"/>
      <c r="AM65" s="344"/>
      <c r="AN65" s="374">
        <v>1</v>
      </c>
      <c r="AO65" s="5" t="s">
        <v>409</v>
      </c>
      <c r="AP65" s="5" t="s">
        <v>457</v>
      </c>
      <c r="AQ65" s="5"/>
      <c r="AS65" s="5"/>
      <c r="AT65" s="379"/>
      <c r="AU65" s="5"/>
      <c r="AV65" s="5"/>
      <c r="AW65" s="322"/>
      <c r="AX65" s="5"/>
      <c r="AY65" s="369"/>
    </row>
    <row r="66" spans="17:51" ht="18.75" customHeight="1" x14ac:dyDescent="0.25">
      <c r="AK66" s="310"/>
      <c r="AM66" s="336"/>
      <c r="AN66" s="374">
        <v>2</v>
      </c>
      <c r="AO66" s="5" t="s">
        <v>156</v>
      </c>
      <c r="AP66" s="5" t="s">
        <v>411</v>
      </c>
      <c r="AQ66" s="5" t="s">
        <v>412</v>
      </c>
      <c r="AT66" s="341"/>
      <c r="AU66" s="370"/>
      <c r="AW66" s="337"/>
      <c r="AY66" s="311"/>
    </row>
    <row r="67" spans="17:51" ht="18.75" customHeight="1" x14ac:dyDescent="0.25">
      <c r="AK67" s="310"/>
      <c r="AM67" s="336"/>
      <c r="AN67" s="374">
        <v>3</v>
      </c>
      <c r="AO67" s="5" t="s">
        <v>413</v>
      </c>
      <c r="AP67" s="5" t="s">
        <v>411</v>
      </c>
      <c r="AQ67" t="s">
        <v>414</v>
      </c>
      <c r="AT67" s="341"/>
      <c r="AW67" s="337"/>
      <c r="AY67" s="311"/>
    </row>
    <row r="68" spans="17:51" ht="18.75" customHeight="1" x14ac:dyDescent="0.25">
      <c r="Q68" s="708"/>
      <c r="R68" s="709"/>
      <c r="S68" s="709"/>
      <c r="T68" s="709"/>
      <c r="U68" s="709"/>
      <c r="V68" s="709"/>
      <c r="W68" s="709"/>
      <c r="X68" s="709"/>
      <c r="Y68" s="709"/>
      <c r="Z68" s="709"/>
      <c r="AA68" s="709"/>
      <c r="AB68" s="709"/>
      <c r="AC68" s="709"/>
      <c r="AD68" s="709"/>
      <c r="AE68" s="709"/>
      <c r="AF68" s="709"/>
      <c r="AG68" s="709"/>
      <c r="AH68" s="709"/>
      <c r="AI68" s="710"/>
      <c r="AK68" s="310"/>
      <c r="AM68" s="336"/>
      <c r="AN68" s="374">
        <v>3</v>
      </c>
      <c r="AO68" s="5" t="s">
        <v>415</v>
      </c>
      <c r="AP68" t="s">
        <v>416</v>
      </c>
      <c r="AQ68" t="s">
        <v>458</v>
      </c>
      <c r="AT68" s="341"/>
      <c r="AW68" s="337"/>
      <c r="AY68" s="311"/>
    </row>
    <row r="69" spans="17:51" ht="18.75" customHeight="1" x14ac:dyDescent="0.25">
      <c r="Q69" s="711"/>
      <c r="R69" s="689"/>
      <c r="S69" s="689"/>
      <c r="T69" s="689"/>
      <c r="U69" s="689"/>
      <c r="V69" s="689"/>
      <c r="W69" s="689"/>
      <c r="X69" s="689"/>
      <c r="Y69" s="689"/>
      <c r="Z69" s="689"/>
      <c r="AA69" s="689"/>
      <c r="AB69" s="689"/>
      <c r="AC69" s="689"/>
      <c r="AD69" s="689"/>
      <c r="AE69" s="689"/>
      <c r="AF69" s="689"/>
      <c r="AG69" s="689"/>
      <c r="AH69" s="689"/>
      <c r="AI69" s="712"/>
      <c r="AK69" s="310"/>
      <c r="AM69" s="336"/>
      <c r="AN69" s="374">
        <v>4</v>
      </c>
      <c r="AO69" s="5" t="s">
        <v>419</v>
      </c>
      <c r="AP69" t="s">
        <v>418</v>
      </c>
      <c r="AT69" s="341"/>
      <c r="AW69" s="337"/>
      <c r="AY69" s="311"/>
    </row>
    <row r="70" spans="17:51" ht="18.75" customHeight="1" x14ac:dyDescent="0.25">
      <c r="Q70" s="711"/>
      <c r="R70" s="689"/>
      <c r="S70" s="689"/>
      <c r="T70" s="689"/>
      <c r="U70" s="689"/>
      <c r="V70" s="689"/>
      <c r="W70" s="689"/>
      <c r="X70" s="689"/>
      <c r="Y70" s="689"/>
      <c r="Z70" s="689"/>
      <c r="AA70" s="689"/>
      <c r="AB70" s="689"/>
      <c r="AC70" s="689"/>
      <c r="AD70" s="689"/>
      <c r="AE70" s="689"/>
      <c r="AF70" s="689"/>
      <c r="AG70" s="689"/>
      <c r="AH70" s="689"/>
      <c r="AI70" s="712"/>
      <c r="AK70" s="310"/>
      <c r="AM70" s="336"/>
      <c r="AN70" s="374">
        <v>5</v>
      </c>
      <c r="AO70" s="5" t="s">
        <v>420</v>
      </c>
      <c r="AP70" t="s">
        <v>421</v>
      </c>
      <c r="AT70" s="341"/>
      <c r="AW70" s="337"/>
      <c r="AY70" s="311"/>
    </row>
    <row r="71" spans="17:51" ht="18.75" customHeight="1" x14ac:dyDescent="0.25">
      <c r="Q71" s="711"/>
      <c r="R71" s="689"/>
      <c r="S71" s="689"/>
      <c r="T71" s="689"/>
      <c r="U71" s="689"/>
      <c r="V71" s="689"/>
      <c r="W71" s="689"/>
      <c r="X71" s="689"/>
      <c r="Y71" s="689"/>
      <c r="Z71" s="689"/>
      <c r="AA71" s="689"/>
      <c r="AB71" s="689"/>
      <c r="AC71" s="689"/>
      <c r="AD71" s="689"/>
      <c r="AE71" s="689"/>
      <c r="AF71" s="689"/>
      <c r="AG71" s="689"/>
      <c r="AH71" s="689"/>
      <c r="AI71" s="712"/>
      <c r="AK71" s="310"/>
      <c r="AM71" s="336"/>
      <c r="AN71" s="374">
        <v>6</v>
      </c>
      <c r="AO71" s="5" t="s">
        <v>422</v>
      </c>
      <c r="AP71" t="s">
        <v>459</v>
      </c>
      <c r="AT71" s="341"/>
      <c r="AW71" s="337"/>
      <c r="AY71" s="311"/>
    </row>
    <row r="72" spans="17:51" ht="18.75" customHeight="1" x14ac:dyDescent="0.25">
      <c r="Q72" s="711"/>
      <c r="R72" s="689"/>
      <c r="S72" s="689"/>
      <c r="T72" s="689"/>
      <c r="U72" s="689"/>
      <c r="V72" s="689"/>
      <c r="W72" s="689"/>
      <c r="X72" s="689"/>
      <c r="Y72" s="689"/>
      <c r="Z72" s="689"/>
      <c r="AA72" s="689"/>
      <c r="AB72" s="689"/>
      <c r="AC72" s="689"/>
      <c r="AD72" s="689"/>
      <c r="AE72" s="689"/>
      <c r="AF72" s="689"/>
      <c r="AG72" s="689"/>
      <c r="AH72" s="689"/>
      <c r="AI72" s="712"/>
      <c r="AK72" s="310"/>
      <c r="AM72" s="336"/>
      <c r="AN72" s="374">
        <v>7</v>
      </c>
      <c r="AO72" s="5" t="s">
        <v>341</v>
      </c>
      <c r="AP72" t="s">
        <v>424</v>
      </c>
      <c r="AQ72" t="s">
        <v>425</v>
      </c>
      <c r="AT72" s="341"/>
      <c r="AW72" s="337"/>
      <c r="AY72" s="311"/>
    </row>
    <row r="73" spans="17:51" ht="18.75" customHeight="1" x14ac:dyDescent="0.3">
      <c r="Q73" s="711"/>
      <c r="R73" s="328"/>
      <c r="S73" s="701" t="s">
        <v>358</v>
      </c>
      <c r="T73" s="702"/>
      <c r="U73" s="703"/>
      <c r="V73" s="704"/>
      <c r="W73" s="705"/>
      <c r="X73" s="705"/>
      <c r="Y73" s="705"/>
      <c r="Z73" s="705"/>
      <c r="AA73" s="705"/>
      <c r="AB73" s="705"/>
      <c r="AC73" s="705"/>
      <c r="AD73" s="705"/>
      <c r="AE73" s="705"/>
      <c r="AF73" s="705"/>
      <c r="AG73" s="705"/>
      <c r="AH73" s="329"/>
      <c r="AI73" s="712"/>
      <c r="AK73" s="310"/>
      <c r="AM73" s="336"/>
      <c r="AN73" s="374">
        <v>8</v>
      </c>
      <c r="AO73" s="5" t="s">
        <v>460</v>
      </c>
      <c r="AT73" s="341"/>
      <c r="AW73" s="337"/>
      <c r="AY73" s="311"/>
    </row>
    <row r="74" spans="17:51" ht="17.25" x14ac:dyDescent="0.3">
      <c r="Q74" s="711"/>
      <c r="R74" s="292"/>
      <c r="S74" s="685" t="s">
        <v>358</v>
      </c>
      <c r="T74" s="686"/>
      <c r="U74" s="687"/>
      <c r="V74" s="688"/>
      <c r="W74" s="689"/>
      <c r="X74" s="689"/>
      <c r="Y74" s="689"/>
      <c r="Z74" s="689"/>
      <c r="AA74" s="689"/>
      <c r="AB74" s="689"/>
      <c r="AC74" s="689"/>
      <c r="AD74" s="689"/>
      <c r="AE74" s="689"/>
      <c r="AF74" s="689"/>
      <c r="AG74" s="689"/>
      <c r="AH74" s="293"/>
      <c r="AI74" s="712"/>
      <c r="AK74" s="310"/>
      <c r="AM74" s="336"/>
      <c r="AN74" s="374">
        <v>9</v>
      </c>
      <c r="AO74" s="5" t="s">
        <v>461</v>
      </c>
      <c r="AQ74" t="s">
        <v>462</v>
      </c>
      <c r="AT74" s="341"/>
      <c r="AW74" s="337"/>
      <c r="AY74" s="311"/>
    </row>
    <row r="75" spans="17:51" ht="15.75" customHeight="1" x14ac:dyDescent="0.25">
      <c r="Q75" s="711"/>
      <c r="R75" s="292"/>
      <c r="S75" s="689" t="s">
        <v>359</v>
      </c>
      <c r="T75" s="690"/>
      <c r="U75" s="689"/>
      <c r="V75" s="689"/>
      <c r="W75" s="689"/>
      <c r="X75" s="690"/>
      <c r="Y75" s="689"/>
      <c r="Z75" s="689"/>
      <c r="AA75" s="689"/>
      <c r="AB75" s="690"/>
      <c r="AC75" s="689"/>
      <c r="AD75" s="689"/>
      <c r="AE75" s="689"/>
      <c r="AF75" s="690"/>
      <c r="AG75" s="689"/>
      <c r="AH75" s="293"/>
      <c r="AI75" s="712"/>
      <c r="AK75" s="310"/>
      <c r="AM75" s="336"/>
      <c r="AN75" s="374">
        <v>10</v>
      </c>
      <c r="AO75" s="5" t="s">
        <v>430</v>
      </c>
      <c r="AT75" s="341"/>
      <c r="AW75" s="337"/>
      <c r="AY75" s="311"/>
    </row>
    <row r="76" spans="17:51" ht="15.75" customHeight="1" x14ac:dyDescent="0.25">
      <c r="Q76" s="711"/>
      <c r="R76" s="292"/>
      <c r="S76" s="689"/>
      <c r="T76" s="691" t="s">
        <v>361</v>
      </c>
      <c r="U76" s="689"/>
      <c r="V76" s="689"/>
      <c r="W76" s="689"/>
      <c r="X76" s="690"/>
      <c r="Y76" s="692"/>
      <c r="Z76" s="689"/>
      <c r="AA76" s="689"/>
      <c r="AB76" s="690"/>
      <c r="AC76" s="689"/>
      <c r="AD76" s="689"/>
      <c r="AE76" s="689"/>
      <c r="AF76" s="690"/>
      <c r="AG76" s="689"/>
      <c r="AH76" s="293"/>
      <c r="AI76" s="712"/>
      <c r="AK76" s="310"/>
      <c r="AM76" s="336"/>
      <c r="AN76" s="374"/>
      <c r="AO76" s="5"/>
      <c r="AT76" s="341"/>
      <c r="AW76" s="337"/>
      <c r="AY76" s="311"/>
    </row>
    <row r="77" spans="17:51" ht="15.75" customHeight="1" x14ac:dyDescent="0.25">
      <c r="Q77" s="711"/>
      <c r="R77" s="292"/>
      <c r="S77" s="689"/>
      <c r="T77" s="693" t="s">
        <v>365</v>
      </c>
      <c r="U77" s="689"/>
      <c r="V77" s="689"/>
      <c r="W77" s="689"/>
      <c r="X77" s="690"/>
      <c r="Y77" s="689"/>
      <c r="Z77" s="689"/>
      <c r="AA77" s="689"/>
      <c r="AB77" s="690"/>
      <c r="AC77" s="689"/>
      <c r="AD77" s="689"/>
      <c r="AE77" s="689"/>
      <c r="AF77" s="690"/>
      <c r="AG77" s="689"/>
      <c r="AH77" s="293"/>
      <c r="AI77" s="712"/>
      <c r="AK77" s="310"/>
      <c r="AM77" s="336"/>
      <c r="AN77" s="374"/>
      <c r="AO77" s="5"/>
      <c r="AT77" s="341"/>
      <c r="AW77" s="337"/>
      <c r="AY77" s="311"/>
    </row>
    <row r="78" spans="17:51" ht="29.25" customHeight="1" x14ac:dyDescent="0.25">
      <c r="Q78" s="711"/>
      <c r="R78" s="292"/>
      <c r="S78" s="707" t="s">
        <v>526</v>
      </c>
      <c r="T78" s="707"/>
      <c r="U78" s="707"/>
      <c r="V78" s="707"/>
      <c r="W78" s="707"/>
      <c r="X78" s="707"/>
      <c r="Y78" s="707"/>
      <c r="Z78" s="707"/>
      <c r="AA78" s="707"/>
      <c r="AB78" s="707"/>
      <c r="AC78" s="707"/>
      <c r="AD78" s="707"/>
      <c r="AE78" s="707"/>
      <c r="AF78" s="707"/>
      <c r="AG78" s="707"/>
      <c r="AH78" s="706"/>
      <c r="AI78" s="712"/>
      <c r="AK78" s="310"/>
      <c r="AM78" s="336"/>
      <c r="AN78" s="375"/>
      <c r="AO78" s="376"/>
      <c r="AP78" s="377"/>
      <c r="AQ78" s="377"/>
      <c r="AR78" s="377"/>
      <c r="AS78" s="377"/>
      <c r="AT78" s="343"/>
      <c r="AW78" s="337"/>
      <c r="AY78" s="311"/>
    </row>
    <row r="79" spans="17:51" ht="15.75" customHeight="1" x14ac:dyDescent="0.25">
      <c r="Q79" s="711"/>
      <c r="R79" s="292"/>
      <c r="S79" s="693"/>
      <c r="T79" s="693"/>
      <c r="U79" s="693"/>
      <c r="V79" s="693"/>
      <c r="W79" s="693"/>
      <c r="X79" s="693"/>
      <c r="Y79" s="693"/>
      <c r="Z79" s="693"/>
      <c r="AA79" s="693"/>
      <c r="AB79" s="693"/>
      <c r="AC79" s="693"/>
      <c r="AD79" s="693"/>
      <c r="AE79" s="693"/>
      <c r="AF79" s="693"/>
      <c r="AG79" s="693"/>
      <c r="AH79" s="706"/>
      <c r="AI79" s="712"/>
      <c r="AK79" s="310"/>
      <c r="AM79" s="336"/>
      <c r="AN79" s="131"/>
      <c r="AO79" s="5"/>
      <c r="AQ79" s="9"/>
      <c r="AR79" s="9"/>
      <c r="AW79" s="337"/>
      <c r="AY79" s="311"/>
    </row>
    <row r="80" spans="17:51" ht="15.75" customHeight="1" x14ac:dyDescent="0.3">
      <c r="Q80" s="711"/>
      <c r="R80" s="292"/>
      <c r="S80" s="689" t="s">
        <v>463</v>
      </c>
      <c r="T80" s="690"/>
      <c r="U80" s="689"/>
      <c r="V80" s="689"/>
      <c r="W80" s="689"/>
      <c r="X80" s="690"/>
      <c r="Y80" s="689"/>
      <c r="Z80" s="689"/>
      <c r="AA80" s="689"/>
      <c r="AB80" s="689"/>
      <c r="AC80" s="689"/>
      <c r="AD80" s="689"/>
      <c r="AE80" s="689"/>
      <c r="AF80" s="690"/>
      <c r="AG80" s="689"/>
      <c r="AH80" s="293"/>
      <c r="AI80" s="712"/>
      <c r="AK80" s="310"/>
      <c r="AM80" s="336"/>
      <c r="AN80" s="366" t="s">
        <v>464</v>
      </c>
      <c r="AO80" s="323" t="s">
        <v>465</v>
      </c>
      <c r="AQ80" s="9"/>
      <c r="AR80" s="9"/>
      <c r="AW80" s="337"/>
      <c r="AY80" s="311"/>
    </row>
    <row r="81" spans="17:51" ht="15.75" customHeight="1" x14ac:dyDescent="0.25">
      <c r="Q81" s="711"/>
      <c r="R81" s="292"/>
      <c r="S81" s="689"/>
      <c r="T81" s="691" t="s">
        <v>361</v>
      </c>
      <c r="U81" s="689"/>
      <c r="V81" s="689"/>
      <c r="W81" s="689"/>
      <c r="X81" s="689"/>
      <c r="Y81" s="689"/>
      <c r="Z81" s="689"/>
      <c r="AA81" s="689"/>
      <c r="AB81" s="689"/>
      <c r="AC81" s="689"/>
      <c r="AD81" s="689"/>
      <c r="AE81" s="694"/>
      <c r="AF81" s="694"/>
      <c r="AG81" s="689"/>
      <c r="AH81" s="293"/>
      <c r="AI81" s="712"/>
      <c r="AK81" s="310"/>
      <c r="AM81" s="336"/>
      <c r="AN81" s="371" t="s">
        <v>74</v>
      </c>
      <c r="AO81" s="372" t="s">
        <v>376</v>
      </c>
      <c r="AP81" s="372" t="s">
        <v>396</v>
      </c>
      <c r="AQ81" s="372" t="s">
        <v>466</v>
      </c>
      <c r="AR81" s="372" t="s">
        <v>467</v>
      </c>
      <c r="AS81" s="372" t="s">
        <v>468</v>
      </c>
      <c r="AT81" s="372" t="s">
        <v>469</v>
      </c>
      <c r="AU81" s="372" t="s">
        <v>470</v>
      </c>
      <c r="AV81" s="373"/>
      <c r="AW81" s="337"/>
      <c r="AY81" s="311"/>
    </row>
    <row r="82" spans="17:51" ht="15.75" customHeight="1" x14ac:dyDescent="0.25">
      <c r="Q82" s="711"/>
      <c r="R82" s="292"/>
      <c r="S82" s="689"/>
      <c r="T82" s="691" t="s">
        <v>365</v>
      </c>
      <c r="U82" s="689"/>
      <c r="V82" s="689"/>
      <c r="W82" s="695"/>
      <c r="X82" s="695"/>
      <c r="Y82" s="689"/>
      <c r="Z82" s="689"/>
      <c r="AA82" s="689"/>
      <c r="AB82" s="689"/>
      <c r="AC82" s="696"/>
      <c r="AD82" s="696"/>
      <c r="AE82" s="696"/>
      <c r="AF82" s="689"/>
      <c r="AG82" s="689"/>
      <c r="AH82" s="293"/>
      <c r="AI82" s="712"/>
      <c r="AK82" s="310"/>
      <c r="AM82" s="336"/>
      <c r="AN82" s="374"/>
      <c r="AO82" s="5"/>
      <c r="AQ82" s="9"/>
      <c r="AR82" s="131"/>
      <c r="AS82" s="131"/>
      <c r="AT82" s="131"/>
      <c r="AV82" s="341"/>
      <c r="AW82" s="337"/>
      <c r="AY82" s="311"/>
    </row>
    <row r="83" spans="17:51" ht="15.75" customHeight="1" x14ac:dyDescent="0.25">
      <c r="Q83" s="711"/>
      <c r="R83" s="292"/>
      <c r="S83" s="689" t="s">
        <v>471</v>
      </c>
      <c r="T83" s="690"/>
      <c r="U83" s="689"/>
      <c r="V83" s="689"/>
      <c r="W83" s="689"/>
      <c r="X83" s="690"/>
      <c r="Y83" s="689"/>
      <c r="Z83" s="689"/>
      <c r="AA83" s="689"/>
      <c r="AB83" s="690"/>
      <c r="AC83" s="689"/>
      <c r="AD83" s="689"/>
      <c r="AE83" s="689"/>
      <c r="AF83" s="689"/>
      <c r="AG83" s="689"/>
      <c r="AH83" s="293"/>
      <c r="AI83" s="712"/>
      <c r="AK83" s="310"/>
      <c r="AM83" s="336"/>
      <c r="AN83" s="374"/>
      <c r="AO83" s="5"/>
      <c r="AQ83" s="9"/>
      <c r="AR83" s="131"/>
      <c r="AS83" s="131"/>
      <c r="AT83" s="131"/>
      <c r="AV83" s="341"/>
      <c r="AW83" s="337"/>
      <c r="AY83" s="311"/>
    </row>
    <row r="84" spans="17:51" ht="15.75" customHeight="1" x14ac:dyDescent="0.25">
      <c r="Q84" s="711"/>
      <c r="R84" s="292"/>
      <c r="S84" s="689"/>
      <c r="T84" s="691" t="s">
        <v>361</v>
      </c>
      <c r="U84" s="689"/>
      <c r="V84" s="689"/>
      <c r="W84" s="689"/>
      <c r="X84" s="689"/>
      <c r="Y84" s="694"/>
      <c r="Z84" s="694"/>
      <c r="AA84" s="694"/>
      <c r="AB84" s="694"/>
      <c r="AC84" s="689"/>
      <c r="AD84" s="689"/>
      <c r="AE84" s="689"/>
      <c r="AF84" s="689"/>
      <c r="AG84" s="689"/>
      <c r="AH84" s="293"/>
      <c r="AI84" s="712"/>
      <c r="AK84" s="310"/>
      <c r="AM84" s="336"/>
      <c r="AN84" s="374"/>
      <c r="AO84" s="5"/>
      <c r="AQ84" s="9"/>
      <c r="AR84" s="9"/>
      <c r="AS84" s="9"/>
      <c r="AV84" s="341"/>
      <c r="AW84" s="337"/>
      <c r="AY84" s="311"/>
    </row>
    <row r="85" spans="17:51" ht="15.75" customHeight="1" x14ac:dyDescent="0.25">
      <c r="Q85" s="711"/>
      <c r="R85" s="292"/>
      <c r="S85" s="689"/>
      <c r="T85" s="691" t="s">
        <v>365</v>
      </c>
      <c r="U85" s="689"/>
      <c r="V85" s="689"/>
      <c r="W85" s="695"/>
      <c r="X85" s="695"/>
      <c r="Y85" s="693"/>
      <c r="Z85" s="695"/>
      <c r="AA85" s="697"/>
      <c r="AB85" s="698"/>
      <c r="AC85" s="689"/>
      <c r="AD85" s="689"/>
      <c r="AE85" s="689"/>
      <c r="AF85" s="689"/>
      <c r="AG85" s="689"/>
      <c r="AH85" s="293"/>
      <c r="AI85" s="712"/>
      <c r="AK85" s="310"/>
      <c r="AM85" s="336"/>
      <c r="AN85" s="374"/>
      <c r="AO85" s="5"/>
      <c r="AQ85" s="9"/>
      <c r="AR85" s="9"/>
      <c r="AS85" s="9"/>
      <c r="AV85" s="341"/>
      <c r="AW85" s="337"/>
      <c r="AY85" s="311"/>
    </row>
    <row r="86" spans="17:51" ht="15.75" customHeight="1" x14ac:dyDescent="0.25">
      <c r="Q86" s="711"/>
      <c r="R86" s="292"/>
      <c r="S86" s="689" t="s">
        <v>374</v>
      </c>
      <c r="T86" s="690"/>
      <c r="U86" s="689"/>
      <c r="V86" s="689"/>
      <c r="W86" s="689"/>
      <c r="X86" s="690"/>
      <c r="Y86" s="693"/>
      <c r="Z86" s="693"/>
      <c r="AA86" s="693"/>
      <c r="AB86" s="693"/>
      <c r="AC86" s="689"/>
      <c r="AD86" s="689"/>
      <c r="AE86" s="689"/>
      <c r="AF86" s="689"/>
      <c r="AG86" s="689"/>
      <c r="AH86" s="293"/>
      <c r="AI86" s="712"/>
      <c r="AK86" s="310"/>
      <c r="AM86" s="336"/>
      <c r="AN86" s="374"/>
      <c r="AO86" s="5"/>
      <c r="AQ86" s="9"/>
      <c r="AR86" s="9"/>
      <c r="AS86" s="9"/>
      <c r="AV86" s="341"/>
      <c r="AW86" s="337"/>
      <c r="AY86" s="311"/>
    </row>
    <row r="87" spans="17:51" ht="15.75" customHeight="1" x14ac:dyDescent="0.25">
      <c r="Q87" s="711"/>
      <c r="R87" s="292"/>
      <c r="S87" s="689"/>
      <c r="T87" s="691" t="s">
        <v>361</v>
      </c>
      <c r="U87" s="689"/>
      <c r="V87" s="689"/>
      <c r="W87" s="689"/>
      <c r="X87" s="690"/>
      <c r="Y87" s="693"/>
      <c r="Z87" s="693"/>
      <c r="AA87" s="693"/>
      <c r="AB87" s="693"/>
      <c r="AC87" s="689"/>
      <c r="AD87" s="689"/>
      <c r="AE87" s="689"/>
      <c r="AF87" s="689"/>
      <c r="AG87" s="689"/>
      <c r="AH87" s="293"/>
      <c r="AI87" s="712"/>
      <c r="AK87" s="310"/>
      <c r="AM87" s="336"/>
      <c r="AN87" s="374"/>
      <c r="AO87" s="5"/>
      <c r="AQ87" s="9"/>
      <c r="AR87" s="9"/>
      <c r="AS87" s="9"/>
      <c r="AV87" s="341"/>
      <c r="AW87" s="337"/>
      <c r="AY87" s="311"/>
    </row>
    <row r="88" spans="17:51" ht="15.75" customHeight="1" x14ac:dyDescent="0.25">
      <c r="Q88" s="711"/>
      <c r="R88" s="292"/>
      <c r="S88" s="689"/>
      <c r="T88" s="691" t="s">
        <v>365</v>
      </c>
      <c r="U88" s="689"/>
      <c r="V88" s="689"/>
      <c r="W88" s="689"/>
      <c r="X88" s="690"/>
      <c r="Y88" s="693"/>
      <c r="Z88" s="693"/>
      <c r="AA88" s="693"/>
      <c r="AB88" s="693"/>
      <c r="AC88" s="689"/>
      <c r="AD88" s="689"/>
      <c r="AE88" s="689"/>
      <c r="AF88" s="689"/>
      <c r="AG88" s="689"/>
      <c r="AH88" s="293"/>
      <c r="AI88" s="712"/>
      <c r="AK88" s="310"/>
      <c r="AM88" s="336"/>
      <c r="AN88" s="374"/>
      <c r="AO88" s="5"/>
      <c r="AQ88" s="9"/>
      <c r="AR88" s="9"/>
      <c r="AS88" s="9"/>
      <c r="AV88" s="341"/>
      <c r="AW88" s="337"/>
      <c r="AY88" s="311"/>
    </row>
    <row r="89" spans="17:51" ht="15.75" customHeight="1" x14ac:dyDescent="0.25">
      <c r="Q89" s="711"/>
      <c r="R89" s="292"/>
      <c r="S89" s="689"/>
      <c r="T89" s="690"/>
      <c r="U89" s="689"/>
      <c r="V89" s="689"/>
      <c r="W89" s="689"/>
      <c r="X89" s="690"/>
      <c r="Y89" s="693"/>
      <c r="Z89" s="693"/>
      <c r="AA89" s="693"/>
      <c r="AB89" s="693"/>
      <c r="AC89" s="689"/>
      <c r="AD89" s="689"/>
      <c r="AE89" s="689"/>
      <c r="AF89" s="689"/>
      <c r="AG89" s="689"/>
      <c r="AH89" s="293"/>
      <c r="AI89" s="712"/>
      <c r="AK89" s="310"/>
      <c r="AM89" s="336"/>
      <c r="AN89" s="374"/>
      <c r="AO89" s="5"/>
      <c r="AQ89" s="9"/>
      <c r="AR89" s="9"/>
      <c r="AS89" s="9"/>
      <c r="AV89" s="341"/>
      <c r="AW89" s="337"/>
      <c r="AY89" s="311"/>
    </row>
    <row r="90" spans="17:51" ht="15.75" customHeight="1" x14ac:dyDescent="0.25">
      <c r="Q90" s="711"/>
      <c r="R90" s="292"/>
      <c r="S90" s="689"/>
      <c r="T90" s="691"/>
      <c r="U90" s="689"/>
      <c r="V90" s="689"/>
      <c r="W90" s="689"/>
      <c r="X90" s="689"/>
      <c r="Y90" s="693"/>
      <c r="Z90" s="693"/>
      <c r="AA90" s="693"/>
      <c r="AB90" s="693"/>
      <c r="AC90" s="689"/>
      <c r="AD90" s="689"/>
      <c r="AE90" s="689"/>
      <c r="AF90" s="689"/>
      <c r="AG90" s="689"/>
      <c r="AH90" s="293"/>
      <c r="AI90" s="712"/>
      <c r="AK90" s="310"/>
      <c r="AM90" s="336"/>
      <c r="AN90" s="374"/>
      <c r="AO90" s="5"/>
      <c r="AQ90" s="9"/>
      <c r="AR90" s="9"/>
      <c r="AS90" s="9"/>
      <c r="AV90" s="341"/>
      <c r="AW90" s="337"/>
      <c r="AY90" s="311"/>
    </row>
    <row r="91" spans="17:51" ht="15.75" customHeight="1" x14ac:dyDescent="0.25">
      <c r="Q91" s="711"/>
      <c r="R91" s="292"/>
      <c r="S91" s="689"/>
      <c r="T91" s="691"/>
      <c r="U91" s="689"/>
      <c r="V91" s="689"/>
      <c r="W91" s="695"/>
      <c r="X91" s="695"/>
      <c r="Y91" s="693"/>
      <c r="Z91" s="693"/>
      <c r="AA91" s="693"/>
      <c r="AB91" s="693"/>
      <c r="AC91" s="689"/>
      <c r="AD91" s="689"/>
      <c r="AE91" s="689"/>
      <c r="AF91" s="689"/>
      <c r="AG91" s="689"/>
      <c r="AH91" s="293"/>
      <c r="AI91" s="712"/>
      <c r="AK91" s="310"/>
      <c r="AM91" s="336"/>
      <c r="AN91" s="375"/>
      <c r="AO91" s="376"/>
      <c r="AP91" s="377"/>
      <c r="AQ91" s="378"/>
      <c r="AR91" s="378"/>
      <c r="AS91" s="378"/>
      <c r="AT91" s="377"/>
      <c r="AU91" s="377"/>
      <c r="AV91" s="343"/>
      <c r="AW91" s="337"/>
      <c r="AY91" s="311"/>
    </row>
    <row r="92" spans="17:51" ht="15.75" customHeight="1" x14ac:dyDescent="0.25">
      <c r="Q92" s="711"/>
      <c r="R92" s="292"/>
      <c r="S92" s="699" t="s">
        <v>395</v>
      </c>
      <c r="T92" s="699"/>
      <c r="U92" s="699"/>
      <c r="V92" s="699"/>
      <c r="W92" s="699"/>
      <c r="X92" s="699"/>
      <c r="Y92" s="699"/>
      <c r="Z92" s="699"/>
      <c r="AA92" s="699"/>
      <c r="AB92" s="699"/>
      <c r="AC92" s="699"/>
      <c r="AD92" s="699"/>
      <c r="AE92" s="699"/>
      <c r="AF92" s="699"/>
      <c r="AG92" s="689"/>
      <c r="AH92" s="293"/>
      <c r="AI92" s="712"/>
      <c r="AK92" s="310"/>
      <c r="AM92" s="336"/>
      <c r="AN92" s="131"/>
      <c r="AO92" s="5"/>
      <c r="AQ92" s="9"/>
      <c r="AR92" s="9"/>
      <c r="AW92" s="337"/>
      <c r="AY92" s="311"/>
    </row>
    <row r="93" spans="17:51" ht="15.75" customHeight="1" x14ac:dyDescent="0.3">
      <c r="Q93" s="711"/>
      <c r="R93" s="292"/>
      <c r="S93" s="689"/>
      <c r="T93" s="691" t="s">
        <v>361</v>
      </c>
      <c r="U93" s="689"/>
      <c r="V93" s="689"/>
      <c r="W93" s="689"/>
      <c r="X93" s="689"/>
      <c r="Y93" s="689"/>
      <c r="Z93" s="689"/>
      <c r="AA93" s="689"/>
      <c r="AB93" s="698"/>
      <c r="AC93" s="689"/>
      <c r="AD93" s="689"/>
      <c r="AE93" s="689"/>
      <c r="AF93" s="689"/>
      <c r="AG93" s="689"/>
      <c r="AH93" s="293"/>
      <c r="AI93" s="712"/>
      <c r="AK93" s="310"/>
      <c r="AM93" s="336"/>
      <c r="AN93" s="366" t="s">
        <v>472</v>
      </c>
      <c r="AO93" s="323" t="s">
        <v>473</v>
      </c>
      <c r="AQ93" s="9"/>
      <c r="AR93" s="9"/>
      <c r="AW93" s="337"/>
      <c r="AY93" s="311"/>
    </row>
    <row r="94" spans="17:51" ht="15.75" customHeight="1" x14ac:dyDescent="0.25">
      <c r="Q94" s="711"/>
      <c r="R94" s="292"/>
      <c r="S94" s="689"/>
      <c r="T94" s="691" t="s">
        <v>365</v>
      </c>
      <c r="U94" s="689"/>
      <c r="V94" s="689"/>
      <c r="W94" s="695"/>
      <c r="X94" s="695"/>
      <c r="Y94" s="689"/>
      <c r="Z94" s="689"/>
      <c r="AA94" s="689"/>
      <c r="AB94" s="698"/>
      <c r="AC94" s="689"/>
      <c r="AD94" s="689"/>
      <c r="AE94" s="689"/>
      <c r="AF94" s="689"/>
      <c r="AG94" s="689"/>
      <c r="AH94" s="293"/>
      <c r="AI94" s="712"/>
      <c r="AK94" s="310"/>
      <c r="AM94" s="336"/>
      <c r="AN94" s="371" t="s">
        <v>74</v>
      </c>
      <c r="AO94" s="372" t="s">
        <v>376</v>
      </c>
      <c r="AP94" s="372"/>
      <c r="AQ94" s="372"/>
      <c r="AR94" s="372"/>
      <c r="AS94" s="372"/>
      <c r="AT94" s="372"/>
      <c r="AU94" s="372"/>
      <c r="AV94" s="373"/>
      <c r="AW94" s="337"/>
      <c r="AY94" s="311"/>
    </row>
    <row r="95" spans="17:51" ht="18.75" x14ac:dyDescent="0.3">
      <c r="Q95" s="711"/>
      <c r="R95" s="292"/>
      <c r="S95" s="689"/>
      <c r="T95" s="691"/>
      <c r="U95" s="689"/>
      <c r="V95" s="689"/>
      <c r="W95" s="695"/>
      <c r="X95" s="695"/>
      <c r="Y95" s="689"/>
      <c r="Z95" s="689"/>
      <c r="AA95" s="689"/>
      <c r="AB95" s="698"/>
      <c r="AC95" s="689"/>
      <c r="AD95" s="689"/>
      <c r="AE95" s="689"/>
      <c r="AF95" s="700" t="s">
        <v>381</v>
      </c>
      <c r="AG95" s="689"/>
      <c r="AH95" s="293"/>
      <c r="AI95" s="712"/>
      <c r="AK95" s="310"/>
      <c r="AM95" s="336"/>
      <c r="AN95" s="340"/>
      <c r="AV95" s="341"/>
      <c r="AW95" s="337"/>
      <c r="AY95" s="311"/>
    </row>
    <row r="96" spans="17:51" ht="16.5" x14ac:dyDescent="0.3">
      <c r="Q96" s="711"/>
      <c r="R96" s="294"/>
      <c r="S96" s="295"/>
      <c r="T96" s="295"/>
      <c r="U96" s="299"/>
      <c r="V96" s="299"/>
      <c r="W96" s="295"/>
      <c r="X96" s="300"/>
      <c r="Y96" s="300"/>
      <c r="Z96" s="295"/>
      <c r="AA96" s="295"/>
      <c r="AB96" s="295"/>
      <c r="AC96" s="295"/>
      <c r="AD96" s="295"/>
      <c r="AE96" s="295"/>
      <c r="AF96" s="295"/>
      <c r="AG96" s="295"/>
      <c r="AH96" s="296"/>
      <c r="AI96" s="712"/>
      <c r="AK96" s="310"/>
      <c r="AM96" s="336"/>
      <c r="AN96" s="340"/>
      <c r="AV96" s="341"/>
      <c r="AW96" s="337"/>
      <c r="AY96" s="311"/>
    </row>
    <row r="97" spans="17:51" x14ac:dyDescent="0.25">
      <c r="Q97" s="713"/>
      <c r="R97" s="714"/>
      <c r="S97" s="714"/>
      <c r="T97" s="714"/>
      <c r="U97" s="714"/>
      <c r="V97" s="714"/>
      <c r="W97" s="714"/>
      <c r="X97" s="714"/>
      <c r="Y97" s="714"/>
      <c r="Z97" s="714"/>
      <c r="AA97" s="714"/>
      <c r="AB97" s="714"/>
      <c r="AC97" s="714"/>
      <c r="AD97" s="714"/>
      <c r="AE97" s="714"/>
      <c r="AF97" s="714"/>
      <c r="AG97" s="714"/>
      <c r="AH97" s="714"/>
      <c r="AI97" s="715"/>
      <c r="AK97" s="310"/>
      <c r="AM97" s="336"/>
      <c r="AN97" s="374"/>
      <c r="AO97" s="5"/>
      <c r="AQ97" s="9"/>
      <c r="AR97" s="131"/>
      <c r="AS97" s="131"/>
      <c r="AT97" s="131"/>
      <c r="AV97" s="341"/>
      <c r="AW97" s="337"/>
      <c r="AY97" s="311"/>
    </row>
    <row r="98" spans="17:51" x14ac:dyDescent="0.25">
      <c r="AK98" s="310"/>
      <c r="AM98" s="336"/>
      <c r="AN98" s="374"/>
      <c r="AO98" s="5"/>
      <c r="AQ98" s="9"/>
      <c r="AR98" s="131"/>
      <c r="AS98" s="131"/>
      <c r="AT98" s="131"/>
      <c r="AV98" s="341"/>
      <c r="AW98" s="337"/>
      <c r="AY98" s="311"/>
    </row>
    <row r="99" spans="17:51" x14ac:dyDescent="0.25"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  <c r="AF99" s="257"/>
      <c r="AG99" s="257"/>
      <c r="AH99" s="257"/>
      <c r="AI99" s="257"/>
      <c r="AK99" s="310"/>
      <c r="AM99" s="336"/>
      <c r="AN99" s="374"/>
      <c r="AO99" s="5"/>
      <c r="AQ99" s="9"/>
      <c r="AR99" s="9"/>
      <c r="AS99" s="9"/>
      <c r="AV99" s="341"/>
      <c r="AW99" s="337"/>
      <c r="AY99" s="311"/>
    </row>
    <row r="100" spans="17:51" x14ac:dyDescent="0.25"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  <c r="AF100" s="257"/>
      <c r="AG100" s="257"/>
      <c r="AH100" s="257"/>
      <c r="AI100" s="257"/>
      <c r="AK100" s="310"/>
      <c r="AM100" s="336"/>
      <c r="AN100" s="374"/>
      <c r="AO100" s="5"/>
      <c r="AQ100" s="9"/>
      <c r="AR100" s="9"/>
      <c r="AS100" s="9"/>
      <c r="AV100" s="341"/>
      <c r="AW100" s="337"/>
      <c r="AY100" s="311"/>
    </row>
    <row r="101" spans="17:51" x14ac:dyDescent="0.25">
      <c r="AK101" s="310"/>
      <c r="AM101" s="336"/>
      <c r="AN101" s="374"/>
      <c r="AO101" s="5"/>
      <c r="AQ101" s="9"/>
      <c r="AR101" s="9"/>
      <c r="AS101" s="9"/>
      <c r="AV101" s="341"/>
      <c r="AW101" s="337"/>
      <c r="AY101" s="311"/>
    </row>
    <row r="102" spans="17:51" x14ac:dyDescent="0.25">
      <c r="AK102" s="310"/>
      <c r="AM102" s="336"/>
      <c r="AN102" s="374"/>
      <c r="AO102" s="5"/>
      <c r="AQ102" s="9"/>
      <c r="AR102" s="9"/>
      <c r="AS102" s="9"/>
      <c r="AV102" s="341"/>
      <c r="AW102" s="337"/>
      <c r="AY102" s="311"/>
    </row>
    <row r="103" spans="17:51" x14ac:dyDescent="0.25">
      <c r="AK103" s="310"/>
      <c r="AM103" s="336"/>
      <c r="AN103" s="374"/>
      <c r="AO103" s="5"/>
      <c r="AQ103" s="9"/>
      <c r="AR103" s="9"/>
      <c r="AS103" s="9"/>
      <c r="AV103" s="341"/>
      <c r="AW103" s="337"/>
      <c r="AY103" s="311"/>
    </row>
    <row r="104" spans="17:51" x14ac:dyDescent="0.25">
      <c r="AK104" s="310"/>
      <c r="AM104" s="336"/>
      <c r="AN104" s="374"/>
      <c r="AO104" s="5"/>
      <c r="AQ104" s="9"/>
      <c r="AR104" s="9"/>
      <c r="AS104" s="9"/>
      <c r="AV104" s="341"/>
      <c r="AW104" s="337"/>
      <c r="AY104" s="311"/>
    </row>
    <row r="105" spans="17:51" x14ac:dyDescent="0.25">
      <c r="AK105" s="310"/>
      <c r="AM105" s="336"/>
      <c r="AN105" s="375"/>
      <c r="AO105" s="376"/>
      <c r="AP105" s="377"/>
      <c r="AQ105" s="378"/>
      <c r="AR105" s="378"/>
      <c r="AS105" s="378"/>
      <c r="AT105" s="377"/>
      <c r="AU105" s="377"/>
      <c r="AV105" s="343"/>
      <c r="AW105" s="337"/>
      <c r="AY105" s="311"/>
    </row>
    <row r="106" spans="17:51" x14ac:dyDescent="0.25">
      <c r="AK106" s="310"/>
      <c r="AM106" s="336"/>
      <c r="AN106" s="131"/>
      <c r="AO106" s="5"/>
      <c r="AQ106" s="9"/>
      <c r="AR106" s="9"/>
      <c r="AW106" s="337"/>
      <c r="AY106" s="311"/>
    </row>
    <row r="107" spans="17:51" x14ac:dyDescent="0.25">
      <c r="AK107" s="310"/>
      <c r="AM107" s="350"/>
      <c r="AN107" s="348"/>
      <c r="AO107" s="348"/>
      <c r="AP107" s="348"/>
      <c r="AQ107" s="348"/>
      <c r="AR107" s="348"/>
      <c r="AS107" s="348"/>
      <c r="AT107" s="348"/>
      <c r="AU107" s="348"/>
      <c r="AV107" s="348"/>
      <c r="AW107" s="349"/>
      <c r="AY107" s="311"/>
    </row>
    <row r="108" spans="17:51" x14ac:dyDescent="0.25">
      <c r="AK108" s="312"/>
      <c r="AL108" s="313"/>
      <c r="AM108" s="313"/>
      <c r="AN108" s="313"/>
      <c r="AO108" s="313"/>
      <c r="AP108" s="313"/>
      <c r="AQ108" s="313"/>
      <c r="AR108" s="313"/>
      <c r="AS108" s="313"/>
      <c r="AT108" s="313"/>
      <c r="AU108" s="313"/>
      <c r="AV108" s="313"/>
      <c r="AW108" s="313"/>
      <c r="AX108" s="313"/>
      <c r="AY108" s="314"/>
    </row>
    <row r="110" spans="17:51" x14ac:dyDescent="0.25">
      <c r="AK110" s="257"/>
      <c r="AL110" s="25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57"/>
      <c r="AY110" s="257"/>
    </row>
    <row r="111" spans="17:51" x14ac:dyDescent="0.25">
      <c r="AK111" s="257"/>
      <c r="AL111" s="257"/>
      <c r="AM111" s="257"/>
      <c r="AN111" s="257"/>
      <c r="AO111" s="257"/>
      <c r="AP111" s="257"/>
      <c r="AQ111" s="257"/>
      <c r="AR111" s="257"/>
      <c r="AS111" s="257"/>
      <c r="AT111" s="257"/>
      <c r="AU111" s="257"/>
      <c r="AV111" s="257"/>
      <c r="AW111" s="257"/>
      <c r="AX111" s="257"/>
      <c r="AY111" s="257"/>
    </row>
    <row r="122" customFormat="1" ht="195" customHeight="1" x14ac:dyDescent="0.25"/>
  </sheetData>
  <mergeCells count="26">
    <mergeCell ref="S78:AG78"/>
    <mergeCell ref="BL14:BL17"/>
    <mergeCell ref="BP14:BP17"/>
    <mergeCell ref="BI25:BK25"/>
    <mergeCell ref="BH20:BL24"/>
    <mergeCell ref="AF14:AF17"/>
    <mergeCell ref="AN25:AO26"/>
    <mergeCell ref="AS19:AT19"/>
    <mergeCell ref="H49:K49"/>
    <mergeCell ref="H53:K53"/>
    <mergeCell ref="H54:I54"/>
    <mergeCell ref="BD14:BD17"/>
    <mergeCell ref="BH14:BH17"/>
    <mergeCell ref="Y25:AA25"/>
    <mergeCell ref="T14:T17"/>
    <mergeCell ref="X14:X17"/>
    <mergeCell ref="AB14:AB17"/>
    <mergeCell ref="X20:AB24"/>
    <mergeCell ref="H18:K18"/>
    <mergeCell ref="H22:K22"/>
    <mergeCell ref="H23:I23"/>
    <mergeCell ref="AQ64:AT64"/>
    <mergeCell ref="AN13:AO13"/>
    <mergeCell ref="AQ27:AT27"/>
    <mergeCell ref="AQ28:AT29"/>
    <mergeCell ref="Y55:AA55"/>
  </mergeCells>
  <phoneticPr fontId="3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Flow</vt:lpstr>
      <vt:lpstr>Master GL &amp; Group</vt:lpstr>
      <vt:lpstr>Menu CFA (2)</vt:lpstr>
      <vt:lpstr>Slisih Akru</vt:lpstr>
      <vt:lpstr>Menu CFA</vt:lpstr>
      <vt:lpstr>Menu Pemohon</vt:lpstr>
      <vt:lpstr>Output</vt:lpstr>
      <vt:lpstr>Sewa Selain Tanah &amp; Bangunan</vt:lpstr>
      <vt:lpstr>Sheet2</vt:lpstr>
      <vt:lpstr>Jasa</vt:lpstr>
      <vt:lpstr>Sheet1</vt:lpstr>
      <vt:lpstr>Meeting Pak Priyo n Tax 161024</vt:lpstr>
      <vt:lpstr>Web Accounting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PUTRI MULYANINGTIAS</dc:creator>
  <cp:keywords/>
  <dc:description/>
  <cp:lastModifiedBy>PUTRI MULYANINGTIAS</cp:lastModifiedBy>
  <cp:revision/>
  <dcterms:created xsi:type="dcterms:W3CDTF">2024-10-16T04:28:16Z</dcterms:created>
  <dcterms:modified xsi:type="dcterms:W3CDTF">2025-05-19T11:02:58Z</dcterms:modified>
  <cp:category/>
  <cp:contentStatus/>
</cp:coreProperties>
</file>